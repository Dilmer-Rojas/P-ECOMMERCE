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rri\Desktop\P-ECOMMERCE\data\processed\"/>
    </mc:Choice>
  </mc:AlternateContent>
  <xr:revisionPtr revIDLastSave="0" documentId="13_ncr:1_{87F5CA9B-63C0-4154-B2F7-A57773534664}" xr6:coauthVersionLast="47" xr6:coauthVersionMax="47" xr10:uidLastSave="{00000000-0000-0000-0000-000000000000}"/>
  <bookViews>
    <workbookView xWindow="-120" yWindow="-120" windowWidth="20730" windowHeight="11760" activeTab="3" xr2:uid="{F0A63BA0-7614-40A2-8464-5C059CF9398C}"/>
  </bookViews>
  <sheets>
    <sheet name="clientes" sheetId="2" r:id="rId1"/>
    <sheet name="categorias" sheetId="3" r:id="rId2"/>
    <sheet name="metodos_pago" sheetId="6" r:id="rId3"/>
    <sheet name="ventas" sheetId="5" r:id="rId4"/>
    <sheet name="productos" sheetId="4" r:id="rId5"/>
  </sheets>
  <definedNames>
    <definedName name="DatosExternos_1" localSheetId="0" hidden="1">'clientes'!$A$1:$F$327</definedName>
    <definedName name="DatosExternos_2" localSheetId="1" hidden="1">'categorias'!$A$1:$C$9</definedName>
    <definedName name="DatosExternos_3" localSheetId="4" hidden="1">productos!$A$1:$E$39</definedName>
    <definedName name="DatosExternos_4" localSheetId="3" hidden="1">ventas!$A$1:$G$3001</definedName>
    <definedName name="DatosExternos_5" localSheetId="2" hidden="1">metodos_pago!$A$1:$C$6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65" i="5"/>
  <c r="H1166" i="5"/>
  <c r="H1167" i="5"/>
  <c r="H1168" i="5"/>
  <c r="H1169" i="5"/>
  <c r="H1170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195" i="5"/>
  <c r="H1196" i="5"/>
  <c r="H1197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3" i="5"/>
  <c r="H1234" i="5"/>
  <c r="H1235" i="5"/>
  <c r="H1236" i="5"/>
  <c r="H1237" i="5"/>
  <c r="H1238" i="5"/>
  <c r="H1239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1" i="5"/>
  <c r="H1262" i="5"/>
  <c r="H1263" i="5"/>
  <c r="H1264" i="5"/>
  <c r="H1265" i="5"/>
  <c r="H1266" i="5"/>
  <c r="H1267" i="5"/>
  <c r="H1268" i="5"/>
  <c r="H1269" i="5"/>
  <c r="H1270" i="5"/>
  <c r="H1271" i="5"/>
  <c r="H1272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296" i="5"/>
  <c r="H1297" i="5"/>
  <c r="H1298" i="5"/>
  <c r="H1299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H1339" i="5"/>
  <c r="H1340" i="5"/>
  <c r="H1341" i="5"/>
  <c r="H1342" i="5"/>
  <c r="H1343" i="5"/>
  <c r="H1344" i="5"/>
  <c r="H1345" i="5"/>
  <c r="H1346" i="5"/>
  <c r="H1347" i="5"/>
  <c r="H1348" i="5"/>
  <c r="H1349" i="5"/>
  <c r="H1350" i="5"/>
  <c r="H1351" i="5"/>
  <c r="H1352" i="5"/>
  <c r="H1353" i="5"/>
  <c r="H1354" i="5"/>
  <c r="H1355" i="5"/>
  <c r="H1356" i="5"/>
  <c r="H1357" i="5"/>
  <c r="H1358" i="5"/>
  <c r="H1359" i="5"/>
  <c r="H1360" i="5"/>
  <c r="H1361" i="5"/>
  <c r="H1362" i="5"/>
  <c r="H1363" i="5"/>
  <c r="H1364" i="5"/>
  <c r="H1365" i="5"/>
  <c r="H1366" i="5"/>
  <c r="H1367" i="5"/>
  <c r="H1368" i="5"/>
  <c r="H1369" i="5"/>
  <c r="H1370" i="5"/>
  <c r="H1371" i="5"/>
  <c r="H1372" i="5"/>
  <c r="H1373" i="5"/>
  <c r="H1374" i="5"/>
  <c r="H1375" i="5"/>
  <c r="H1376" i="5"/>
  <c r="H1377" i="5"/>
  <c r="H1378" i="5"/>
  <c r="H1379" i="5"/>
  <c r="H1380" i="5"/>
  <c r="H1381" i="5"/>
  <c r="H1382" i="5"/>
  <c r="H1383" i="5"/>
  <c r="H1384" i="5"/>
  <c r="H1385" i="5"/>
  <c r="H1386" i="5"/>
  <c r="H1387" i="5"/>
  <c r="H1388" i="5"/>
  <c r="H1389" i="5"/>
  <c r="H1390" i="5"/>
  <c r="H1391" i="5"/>
  <c r="H1392" i="5"/>
  <c r="H1393" i="5"/>
  <c r="H1394" i="5"/>
  <c r="H1395" i="5"/>
  <c r="H1396" i="5"/>
  <c r="H1397" i="5"/>
  <c r="H1398" i="5"/>
  <c r="H1399" i="5"/>
  <c r="H1400" i="5"/>
  <c r="H1401" i="5"/>
  <c r="H1402" i="5"/>
  <c r="H1403" i="5"/>
  <c r="H1404" i="5"/>
  <c r="H1405" i="5"/>
  <c r="H1406" i="5"/>
  <c r="H1407" i="5"/>
  <c r="H1408" i="5"/>
  <c r="H1409" i="5"/>
  <c r="H1410" i="5"/>
  <c r="H1411" i="5"/>
  <c r="H1412" i="5"/>
  <c r="H1413" i="5"/>
  <c r="H1414" i="5"/>
  <c r="H1415" i="5"/>
  <c r="H1416" i="5"/>
  <c r="H1417" i="5"/>
  <c r="H1418" i="5"/>
  <c r="H1419" i="5"/>
  <c r="H1420" i="5"/>
  <c r="H1421" i="5"/>
  <c r="H1422" i="5"/>
  <c r="H1423" i="5"/>
  <c r="H1424" i="5"/>
  <c r="H1425" i="5"/>
  <c r="H1426" i="5"/>
  <c r="H1427" i="5"/>
  <c r="H1428" i="5"/>
  <c r="H1429" i="5"/>
  <c r="H1430" i="5"/>
  <c r="H1431" i="5"/>
  <c r="H1432" i="5"/>
  <c r="H1433" i="5"/>
  <c r="H1434" i="5"/>
  <c r="H1435" i="5"/>
  <c r="H1436" i="5"/>
  <c r="H1437" i="5"/>
  <c r="H1438" i="5"/>
  <c r="H1439" i="5"/>
  <c r="H1440" i="5"/>
  <c r="H1441" i="5"/>
  <c r="H1442" i="5"/>
  <c r="H1443" i="5"/>
  <c r="H1444" i="5"/>
  <c r="H1445" i="5"/>
  <c r="H1446" i="5"/>
  <c r="H1447" i="5"/>
  <c r="H1448" i="5"/>
  <c r="H1449" i="5"/>
  <c r="H1450" i="5"/>
  <c r="H1451" i="5"/>
  <c r="H1452" i="5"/>
  <c r="H1453" i="5"/>
  <c r="H1454" i="5"/>
  <c r="H1455" i="5"/>
  <c r="H1456" i="5"/>
  <c r="H1457" i="5"/>
  <c r="H1458" i="5"/>
  <c r="H1459" i="5"/>
  <c r="H1460" i="5"/>
  <c r="H1461" i="5"/>
  <c r="H1462" i="5"/>
  <c r="H1463" i="5"/>
  <c r="H1464" i="5"/>
  <c r="H1465" i="5"/>
  <c r="H1466" i="5"/>
  <c r="H1467" i="5"/>
  <c r="H1468" i="5"/>
  <c r="H1469" i="5"/>
  <c r="H1470" i="5"/>
  <c r="H1471" i="5"/>
  <c r="H1472" i="5"/>
  <c r="H1473" i="5"/>
  <c r="H1474" i="5"/>
  <c r="H1475" i="5"/>
  <c r="H1476" i="5"/>
  <c r="H1477" i="5"/>
  <c r="H1478" i="5"/>
  <c r="H1479" i="5"/>
  <c r="H1480" i="5"/>
  <c r="H1481" i="5"/>
  <c r="H1482" i="5"/>
  <c r="H1483" i="5"/>
  <c r="H1484" i="5"/>
  <c r="H1485" i="5"/>
  <c r="H1486" i="5"/>
  <c r="H1487" i="5"/>
  <c r="H1488" i="5"/>
  <c r="H1489" i="5"/>
  <c r="H1490" i="5"/>
  <c r="H1491" i="5"/>
  <c r="H1492" i="5"/>
  <c r="H1493" i="5"/>
  <c r="H1494" i="5"/>
  <c r="H1495" i="5"/>
  <c r="H1496" i="5"/>
  <c r="H1497" i="5"/>
  <c r="H1498" i="5"/>
  <c r="H1499" i="5"/>
  <c r="H1500" i="5"/>
  <c r="H1501" i="5"/>
  <c r="H1502" i="5"/>
  <c r="H1503" i="5"/>
  <c r="H1504" i="5"/>
  <c r="H1505" i="5"/>
  <c r="H1506" i="5"/>
  <c r="H1507" i="5"/>
  <c r="H1508" i="5"/>
  <c r="H1509" i="5"/>
  <c r="H1510" i="5"/>
  <c r="H1511" i="5"/>
  <c r="H1512" i="5"/>
  <c r="H1513" i="5"/>
  <c r="H1514" i="5"/>
  <c r="H1515" i="5"/>
  <c r="H1516" i="5"/>
  <c r="H1517" i="5"/>
  <c r="H1518" i="5"/>
  <c r="H1519" i="5"/>
  <c r="H1520" i="5"/>
  <c r="H1521" i="5"/>
  <c r="H1522" i="5"/>
  <c r="H1523" i="5"/>
  <c r="H1524" i="5"/>
  <c r="H1525" i="5"/>
  <c r="H1526" i="5"/>
  <c r="H1527" i="5"/>
  <c r="H1528" i="5"/>
  <c r="H1529" i="5"/>
  <c r="H1530" i="5"/>
  <c r="H1531" i="5"/>
  <c r="H1532" i="5"/>
  <c r="H1533" i="5"/>
  <c r="H1534" i="5"/>
  <c r="H1535" i="5"/>
  <c r="H1536" i="5"/>
  <c r="H1537" i="5"/>
  <c r="H1538" i="5"/>
  <c r="H1539" i="5"/>
  <c r="H1540" i="5"/>
  <c r="H1541" i="5"/>
  <c r="H1542" i="5"/>
  <c r="H1543" i="5"/>
  <c r="H1544" i="5"/>
  <c r="H1545" i="5"/>
  <c r="H1546" i="5"/>
  <c r="H1547" i="5"/>
  <c r="H1548" i="5"/>
  <c r="H1549" i="5"/>
  <c r="H1550" i="5"/>
  <c r="H1551" i="5"/>
  <c r="H1552" i="5"/>
  <c r="H1553" i="5"/>
  <c r="H1554" i="5"/>
  <c r="H1555" i="5"/>
  <c r="H1556" i="5"/>
  <c r="H1557" i="5"/>
  <c r="H1558" i="5"/>
  <c r="H1559" i="5"/>
  <c r="H1560" i="5"/>
  <c r="H1561" i="5"/>
  <c r="H1562" i="5"/>
  <c r="H1563" i="5"/>
  <c r="H1564" i="5"/>
  <c r="H1565" i="5"/>
  <c r="H1566" i="5"/>
  <c r="H1567" i="5"/>
  <c r="H1568" i="5"/>
  <c r="H1569" i="5"/>
  <c r="H1570" i="5"/>
  <c r="H1571" i="5"/>
  <c r="H1572" i="5"/>
  <c r="H1573" i="5"/>
  <c r="H1574" i="5"/>
  <c r="H1575" i="5"/>
  <c r="H1576" i="5"/>
  <c r="H1577" i="5"/>
  <c r="H1578" i="5"/>
  <c r="H1579" i="5"/>
  <c r="H1580" i="5"/>
  <c r="H1581" i="5"/>
  <c r="H1582" i="5"/>
  <c r="H1583" i="5"/>
  <c r="H1584" i="5"/>
  <c r="H1585" i="5"/>
  <c r="H1586" i="5"/>
  <c r="H1587" i="5"/>
  <c r="H1588" i="5"/>
  <c r="H1589" i="5"/>
  <c r="H1590" i="5"/>
  <c r="H1591" i="5"/>
  <c r="H1592" i="5"/>
  <c r="H1593" i="5"/>
  <c r="H1594" i="5"/>
  <c r="H1595" i="5"/>
  <c r="H1596" i="5"/>
  <c r="H1597" i="5"/>
  <c r="H1598" i="5"/>
  <c r="H1599" i="5"/>
  <c r="H1600" i="5"/>
  <c r="H1601" i="5"/>
  <c r="H1602" i="5"/>
  <c r="H1603" i="5"/>
  <c r="H1604" i="5"/>
  <c r="H1605" i="5"/>
  <c r="H1606" i="5"/>
  <c r="H1607" i="5"/>
  <c r="H1608" i="5"/>
  <c r="H1609" i="5"/>
  <c r="H1610" i="5"/>
  <c r="H1611" i="5"/>
  <c r="H1612" i="5"/>
  <c r="H1613" i="5"/>
  <c r="H1614" i="5"/>
  <c r="H1615" i="5"/>
  <c r="H1616" i="5"/>
  <c r="H1617" i="5"/>
  <c r="H1618" i="5"/>
  <c r="H1619" i="5"/>
  <c r="H1620" i="5"/>
  <c r="H1621" i="5"/>
  <c r="H1622" i="5"/>
  <c r="H1623" i="5"/>
  <c r="H1624" i="5"/>
  <c r="H1625" i="5"/>
  <c r="H1626" i="5"/>
  <c r="H1627" i="5"/>
  <c r="H1628" i="5"/>
  <c r="H1629" i="5"/>
  <c r="H1630" i="5"/>
  <c r="H1631" i="5"/>
  <c r="H1632" i="5"/>
  <c r="H1633" i="5"/>
  <c r="H1634" i="5"/>
  <c r="H1635" i="5"/>
  <c r="H1636" i="5"/>
  <c r="H1637" i="5"/>
  <c r="H1638" i="5"/>
  <c r="H1639" i="5"/>
  <c r="H1640" i="5"/>
  <c r="H1641" i="5"/>
  <c r="H1642" i="5"/>
  <c r="H1643" i="5"/>
  <c r="H1644" i="5"/>
  <c r="H1645" i="5"/>
  <c r="H1646" i="5"/>
  <c r="H1647" i="5"/>
  <c r="H1648" i="5"/>
  <c r="H1649" i="5"/>
  <c r="H1650" i="5"/>
  <c r="H1651" i="5"/>
  <c r="H1652" i="5"/>
  <c r="H1653" i="5"/>
  <c r="H1654" i="5"/>
  <c r="H1655" i="5"/>
  <c r="H1656" i="5"/>
  <c r="H1657" i="5"/>
  <c r="H1658" i="5"/>
  <c r="H1659" i="5"/>
  <c r="H1660" i="5"/>
  <c r="H1661" i="5"/>
  <c r="H1662" i="5"/>
  <c r="H1663" i="5"/>
  <c r="H1664" i="5"/>
  <c r="H1665" i="5"/>
  <c r="H1666" i="5"/>
  <c r="H1667" i="5"/>
  <c r="H1668" i="5"/>
  <c r="H1669" i="5"/>
  <c r="H1670" i="5"/>
  <c r="H1671" i="5"/>
  <c r="H1672" i="5"/>
  <c r="H1673" i="5"/>
  <c r="H1674" i="5"/>
  <c r="H1675" i="5"/>
  <c r="H1676" i="5"/>
  <c r="H1677" i="5"/>
  <c r="H1678" i="5"/>
  <c r="H1679" i="5"/>
  <c r="H1680" i="5"/>
  <c r="H1681" i="5"/>
  <c r="H1682" i="5"/>
  <c r="H1683" i="5"/>
  <c r="H1684" i="5"/>
  <c r="H1685" i="5"/>
  <c r="H1686" i="5"/>
  <c r="H1687" i="5"/>
  <c r="H1688" i="5"/>
  <c r="H1689" i="5"/>
  <c r="H1690" i="5"/>
  <c r="H1691" i="5"/>
  <c r="H1692" i="5"/>
  <c r="H1693" i="5"/>
  <c r="H1694" i="5"/>
  <c r="H1695" i="5"/>
  <c r="H1696" i="5"/>
  <c r="H1697" i="5"/>
  <c r="H1698" i="5"/>
  <c r="H1699" i="5"/>
  <c r="H1700" i="5"/>
  <c r="H1701" i="5"/>
  <c r="H1702" i="5"/>
  <c r="H1703" i="5"/>
  <c r="H1704" i="5"/>
  <c r="H1705" i="5"/>
  <c r="H1706" i="5"/>
  <c r="H1707" i="5"/>
  <c r="H1708" i="5"/>
  <c r="H1709" i="5"/>
  <c r="H1710" i="5"/>
  <c r="H1711" i="5"/>
  <c r="H1712" i="5"/>
  <c r="H1713" i="5"/>
  <c r="H1714" i="5"/>
  <c r="H1715" i="5"/>
  <c r="H1716" i="5"/>
  <c r="H1717" i="5"/>
  <c r="H1718" i="5"/>
  <c r="H1719" i="5"/>
  <c r="H1720" i="5"/>
  <c r="H1721" i="5"/>
  <c r="H1722" i="5"/>
  <c r="H1723" i="5"/>
  <c r="H1724" i="5"/>
  <c r="H1725" i="5"/>
  <c r="H1726" i="5"/>
  <c r="H1727" i="5"/>
  <c r="H1728" i="5"/>
  <c r="H1729" i="5"/>
  <c r="H1730" i="5"/>
  <c r="H1731" i="5"/>
  <c r="H1732" i="5"/>
  <c r="H1733" i="5"/>
  <c r="H1734" i="5"/>
  <c r="H1735" i="5"/>
  <c r="H1736" i="5"/>
  <c r="H1737" i="5"/>
  <c r="H1738" i="5"/>
  <c r="H1739" i="5"/>
  <c r="H1740" i="5"/>
  <c r="H1741" i="5"/>
  <c r="H1742" i="5"/>
  <c r="H1743" i="5"/>
  <c r="H1744" i="5"/>
  <c r="H1745" i="5"/>
  <c r="H1746" i="5"/>
  <c r="H1747" i="5"/>
  <c r="H1748" i="5"/>
  <c r="H1749" i="5"/>
  <c r="H1750" i="5"/>
  <c r="H1751" i="5"/>
  <c r="H1752" i="5"/>
  <c r="H1753" i="5"/>
  <c r="H1754" i="5"/>
  <c r="H1755" i="5"/>
  <c r="H1756" i="5"/>
  <c r="H1757" i="5"/>
  <c r="H1758" i="5"/>
  <c r="H1759" i="5"/>
  <c r="H1760" i="5"/>
  <c r="H1761" i="5"/>
  <c r="H1762" i="5"/>
  <c r="H1763" i="5"/>
  <c r="H1764" i="5"/>
  <c r="H1765" i="5"/>
  <c r="H1766" i="5"/>
  <c r="H1767" i="5"/>
  <c r="H1768" i="5"/>
  <c r="H1769" i="5"/>
  <c r="H1770" i="5"/>
  <c r="H1771" i="5"/>
  <c r="H1772" i="5"/>
  <c r="H1773" i="5"/>
  <c r="H1774" i="5"/>
  <c r="H1775" i="5"/>
  <c r="H1776" i="5"/>
  <c r="H1777" i="5"/>
  <c r="H1778" i="5"/>
  <c r="H1779" i="5"/>
  <c r="H1780" i="5"/>
  <c r="H1781" i="5"/>
  <c r="H1782" i="5"/>
  <c r="H1783" i="5"/>
  <c r="H1784" i="5"/>
  <c r="H1785" i="5"/>
  <c r="H1786" i="5"/>
  <c r="H1787" i="5"/>
  <c r="H1788" i="5"/>
  <c r="H1789" i="5"/>
  <c r="H1790" i="5"/>
  <c r="H1791" i="5"/>
  <c r="H1792" i="5"/>
  <c r="H1793" i="5"/>
  <c r="H1794" i="5"/>
  <c r="H1795" i="5"/>
  <c r="H1796" i="5"/>
  <c r="H1797" i="5"/>
  <c r="H1798" i="5"/>
  <c r="H1799" i="5"/>
  <c r="H1800" i="5"/>
  <c r="H1801" i="5"/>
  <c r="H1802" i="5"/>
  <c r="H1803" i="5"/>
  <c r="H1804" i="5"/>
  <c r="H1805" i="5"/>
  <c r="H1806" i="5"/>
  <c r="H1807" i="5"/>
  <c r="H1808" i="5"/>
  <c r="H1809" i="5"/>
  <c r="H1810" i="5"/>
  <c r="H1811" i="5"/>
  <c r="H1812" i="5"/>
  <c r="H1813" i="5"/>
  <c r="H1814" i="5"/>
  <c r="H1815" i="5"/>
  <c r="H1816" i="5"/>
  <c r="H1817" i="5"/>
  <c r="H1818" i="5"/>
  <c r="H1819" i="5"/>
  <c r="H1820" i="5"/>
  <c r="H1821" i="5"/>
  <c r="H1822" i="5"/>
  <c r="H1823" i="5"/>
  <c r="H1824" i="5"/>
  <c r="H1825" i="5"/>
  <c r="H1826" i="5"/>
  <c r="H1827" i="5"/>
  <c r="H1828" i="5"/>
  <c r="H1829" i="5"/>
  <c r="H1830" i="5"/>
  <c r="H1831" i="5"/>
  <c r="H1832" i="5"/>
  <c r="H1833" i="5"/>
  <c r="H1834" i="5"/>
  <c r="H1835" i="5"/>
  <c r="H1836" i="5"/>
  <c r="H1837" i="5"/>
  <c r="H1838" i="5"/>
  <c r="H1839" i="5"/>
  <c r="H1840" i="5"/>
  <c r="H1841" i="5"/>
  <c r="H1842" i="5"/>
  <c r="H1843" i="5"/>
  <c r="H1844" i="5"/>
  <c r="H1845" i="5"/>
  <c r="H1846" i="5"/>
  <c r="H1847" i="5"/>
  <c r="H1848" i="5"/>
  <c r="H1849" i="5"/>
  <c r="H1850" i="5"/>
  <c r="H1851" i="5"/>
  <c r="H1852" i="5"/>
  <c r="H1853" i="5"/>
  <c r="H1854" i="5"/>
  <c r="H1855" i="5"/>
  <c r="H1856" i="5"/>
  <c r="H1857" i="5"/>
  <c r="H1858" i="5"/>
  <c r="H1859" i="5"/>
  <c r="H1860" i="5"/>
  <c r="H1861" i="5"/>
  <c r="H1862" i="5"/>
  <c r="H1863" i="5"/>
  <c r="H1864" i="5"/>
  <c r="H1865" i="5"/>
  <c r="H1866" i="5"/>
  <c r="H1867" i="5"/>
  <c r="H1868" i="5"/>
  <c r="H1869" i="5"/>
  <c r="H1870" i="5"/>
  <c r="H1871" i="5"/>
  <c r="H1872" i="5"/>
  <c r="H1873" i="5"/>
  <c r="H1874" i="5"/>
  <c r="H1875" i="5"/>
  <c r="H1876" i="5"/>
  <c r="H1877" i="5"/>
  <c r="H1878" i="5"/>
  <c r="H1879" i="5"/>
  <c r="H1880" i="5"/>
  <c r="H1881" i="5"/>
  <c r="H1882" i="5"/>
  <c r="H1883" i="5"/>
  <c r="H1884" i="5"/>
  <c r="H1885" i="5"/>
  <c r="H1886" i="5"/>
  <c r="H1887" i="5"/>
  <c r="H1888" i="5"/>
  <c r="H1889" i="5"/>
  <c r="H1890" i="5"/>
  <c r="H1891" i="5"/>
  <c r="H1892" i="5"/>
  <c r="H1893" i="5"/>
  <c r="H1894" i="5"/>
  <c r="H1895" i="5"/>
  <c r="H1896" i="5"/>
  <c r="H1897" i="5"/>
  <c r="H1898" i="5"/>
  <c r="H1899" i="5"/>
  <c r="H1900" i="5"/>
  <c r="H1901" i="5"/>
  <c r="H1902" i="5"/>
  <c r="H1903" i="5"/>
  <c r="H1904" i="5"/>
  <c r="H1905" i="5"/>
  <c r="H1906" i="5"/>
  <c r="H1907" i="5"/>
  <c r="H1908" i="5"/>
  <c r="H1909" i="5"/>
  <c r="H1910" i="5"/>
  <c r="H1911" i="5"/>
  <c r="H1912" i="5"/>
  <c r="H1913" i="5"/>
  <c r="H1914" i="5"/>
  <c r="H1915" i="5"/>
  <c r="H1916" i="5"/>
  <c r="H1917" i="5"/>
  <c r="H1918" i="5"/>
  <c r="H1919" i="5"/>
  <c r="H1920" i="5"/>
  <c r="H1921" i="5"/>
  <c r="H1922" i="5"/>
  <c r="H1923" i="5"/>
  <c r="H1924" i="5"/>
  <c r="H1925" i="5"/>
  <c r="H1926" i="5"/>
  <c r="H1927" i="5"/>
  <c r="H1928" i="5"/>
  <c r="H1929" i="5"/>
  <c r="H1930" i="5"/>
  <c r="H1931" i="5"/>
  <c r="H1932" i="5"/>
  <c r="H1933" i="5"/>
  <c r="H1934" i="5"/>
  <c r="H1935" i="5"/>
  <c r="H1936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H1996" i="5"/>
  <c r="H1997" i="5"/>
  <c r="H1998" i="5"/>
  <c r="H1999" i="5"/>
  <c r="H2000" i="5"/>
  <c r="H2001" i="5"/>
  <c r="H2002" i="5"/>
  <c r="H2003" i="5"/>
  <c r="H2004" i="5"/>
  <c r="H2005" i="5"/>
  <c r="H2006" i="5"/>
  <c r="H2007" i="5"/>
  <c r="H2008" i="5"/>
  <c r="H2009" i="5"/>
  <c r="H2010" i="5"/>
  <c r="H2011" i="5"/>
  <c r="H2012" i="5"/>
  <c r="H2013" i="5"/>
  <c r="H2014" i="5"/>
  <c r="H2015" i="5"/>
  <c r="H2016" i="5"/>
  <c r="H2017" i="5"/>
  <c r="H2018" i="5"/>
  <c r="H2019" i="5"/>
  <c r="H2020" i="5"/>
  <c r="H2021" i="5"/>
  <c r="H2022" i="5"/>
  <c r="H2023" i="5"/>
  <c r="H2024" i="5"/>
  <c r="H2025" i="5"/>
  <c r="H2026" i="5"/>
  <c r="H2027" i="5"/>
  <c r="H2028" i="5"/>
  <c r="H2029" i="5"/>
  <c r="H2030" i="5"/>
  <c r="H2031" i="5"/>
  <c r="H2032" i="5"/>
  <c r="H2033" i="5"/>
  <c r="H2034" i="5"/>
  <c r="H2035" i="5"/>
  <c r="H2036" i="5"/>
  <c r="H2037" i="5"/>
  <c r="H2038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H2055" i="5"/>
  <c r="H2056" i="5"/>
  <c r="H2057" i="5"/>
  <c r="H2058" i="5"/>
  <c r="H2059" i="5"/>
  <c r="H2060" i="5"/>
  <c r="H2061" i="5"/>
  <c r="H2062" i="5"/>
  <c r="H2063" i="5"/>
  <c r="H2064" i="5"/>
  <c r="H2065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H2080" i="5"/>
  <c r="H2081" i="5"/>
  <c r="H2082" i="5"/>
  <c r="H2083" i="5"/>
  <c r="H2084" i="5"/>
  <c r="H2085" i="5"/>
  <c r="H2086" i="5"/>
  <c r="H2087" i="5"/>
  <c r="H2088" i="5"/>
  <c r="H2089" i="5"/>
  <c r="H2090" i="5"/>
  <c r="H2091" i="5"/>
  <c r="H2092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H2114" i="5"/>
  <c r="H2115" i="5"/>
  <c r="H2116" i="5"/>
  <c r="H2117" i="5"/>
  <c r="H2118" i="5"/>
  <c r="H2119" i="5"/>
  <c r="H2120" i="5"/>
  <c r="H2121" i="5"/>
  <c r="H2122" i="5"/>
  <c r="H2123" i="5"/>
  <c r="H2124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354BE7-4FC6-41D8-AB3E-2E1DD512FA4A}" keepAlive="1" name="Consulta - categorias" description="Conexión a la consulta 'categorias' en el libro." type="5" refreshedVersion="8" background="1" saveData="1">
    <dbPr connection="Provider=Microsoft.Mashup.OleDb.1;Data Source=$Workbook$;Location=categorias;Extended Properties=&quot;&quot;" command="SELECT * FROM [categorias]"/>
  </connection>
  <connection id="2" xr16:uid="{42DC2AFC-FB73-4E45-8431-7341CE6595EE}" keepAlive="1" name="Consulta - clientes" description="Conexión a la consulta 'clientes' en el libro." type="5" refreshedVersion="8" background="1" saveData="1">
    <dbPr connection="Provider=Microsoft.Mashup.OleDb.1;Data Source=$Workbook$;Location=clientes;Extended Properties=&quot;&quot;" command="SELECT * FROM [clientes]"/>
  </connection>
  <connection id="3" xr16:uid="{5B2AE5E1-2594-4142-A49D-D6109B75C80F}" keepAlive="1" name="Consulta - metodos_pago" description="Conexión a la consulta 'metodos_pago' en el libro." type="5" refreshedVersion="8" background="1" saveData="1">
    <dbPr connection="Provider=Microsoft.Mashup.OleDb.1;Data Source=$Workbook$;Location=metodos_pago;Extended Properties=&quot;&quot;" command="SELECT * FROM [metodos_pago]"/>
  </connection>
  <connection id="4" xr16:uid="{13EA3D41-1782-4E2B-BC4E-5966EB1F869E}" keepAlive="1" name="Consulta - productos" description="Conexión a la consulta 'productos' en el libro." type="5" refreshedVersion="8" background="1" saveData="1">
    <dbPr connection="Provider=Microsoft.Mashup.OleDb.1;Data Source=$Workbook$;Location=productos;Extended Properties=&quot;&quot;" command="SELECT * FROM [productos]"/>
  </connection>
  <connection id="5" xr16:uid="{95F47169-E342-470D-A1B4-22CF27B9325D}" keepAlive="1" name="Consulta - ventas" description="Conexión a la consulta 'ventas' en el libro." type="5" refreshedVersion="8" background="1" saveData="1">
    <dbPr connection="Provider=Microsoft.Mashup.OleDb.1;Data Source=$Workbook$;Location=ventas;Extended Properties=&quot;&quot;" command="SELECT * FROM [ventas]"/>
  </connection>
</connections>
</file>

<file path=xl/sharedStrings.xml><?xml version="1.0" encoding="utf-8"?>
<sst xmlns="http://schemas.openxmlformats.org/spreadsheetml/2006/main" count="4432" uniqueCount="1060">
  <si>
    <t>ID_Cliente</t>
  </si>
  <si>
    <t>Nombre</t>
  </si>
  <si>
    <t>Apellido</t>
  </si>
  <si>
    <t>Email</t>
  </si>
  <si>
    <t>Fecha_Registro</t>
  </si>
  <si>
    <t>Región</t>
  </si>
  <si>
    <t>Karisa</t>
  </si>
  <si>
    <t>Cromett</t>
  </si>
  <si>
    <t>kcromett0@imageshack.us</t>
  </si>
  <si>
    <t>Patagonia</t>
  </si>
  <si>
    <t>Lenette</t>
  </si>
  <si>
    <t>Seabert</t>
  </si>
  <si>
    <t>lseabert1@yahoo.co.jp</t>
  </si>
  <si>
    <t>Buddy</t>
  </si>
  <si>
    <t>Silverson</t>
  </si>
  <si>
    <t>bsilverson2@howstuffworks.com</t>
  </si>
  <si>
    <t>Dan</t>
  </si>
  <si>
    <t>Parkin</t>
  </si>
  <si>
    <t>dparkin3@virginia.edu</t>
  </si>
  <si>
    <t>Buenos Aires</t>
  </si>
  <si>
    <t>Conney</t>
  </si>
  <si>
    <t>Cassella</t>
  </si>
  <si>
    <t>ccassella4@who.int</t>
  </si>
  <si>
    <t>Centro</t>
  </si>
  <si>
    <t>Saunder</t>
  </si>
  <si>
    <t>Fone</t>
  </si>
  <si>
    <t>sfone5@tumblr.com</t>
  </si>
  <si>
    <t>Sophia</t>
  </si>
  <si>
    <t>Landon</t>
  </si>
  <si>
    <t>slandon6@imgur.com</t>
  </si>
  <si>
    <t>Cuyo</t>
  </si>
  <si>
    <t>Joellen</t>
  </si>
  <si>
    <t>Grey</t>
  </si>
  <si>
    <t>jgrey7@buzzfeed.com</t>
  </si>
  <si>
    <t>Ephraim</t>
  </si>
  <si>
    <t>Blackstone</t>
  </si>
  <si>
    <t>eblackstone8@linkedin.com</t>
  </si>
  <si>
    <t>Stephenie</t>
  </si>
  <si>
    <t>Sexty</t>
  </si>
  <si>
    <t>ssexty9@domainmarket.com</t>
  </si>
  <si>
    <t>Hilario</t>
  </si>
  <si>
    <t>Hubble</t>
  </si>
  <si>
    <t>hhubblea@lycos.com</t>
  </si>
  <si>
    <t>Daisy</t>
  </si>
  <si>
    <t>Vennart</t>
  </si>
  <si>
    <t>dvennartb@shutterfly.com</t>
  </si>
  <si>
    <t>Kameko</t>
  </si>
  <si>
    <t>Moland</t>
  </si>
  <si>
    <t>kmolandc@samsung.com</t>
  </si>
  <si>
    <t>Fedora</t>
  </si>
  <si>
    <t>Brackenbury</t>
  </si>
  <si>
    <t>fbrackenburyd@nsw.gov.au</t>
  </si>
  <si>
    <t>Locke</t>
  </si>
  <si>
    <t>Getsham</t>
  </si>
  <si>
    <t>lgetshame@joomla.org</t>
  </si>
  <si>
    <t>Robena</t>
  </si>
  <si>
    <t>Arkill</t>
  </si>
  <si>
    <t>rarkillf@usnews.com</t>
  </si>
  <si>
    <t>Marianna</t>
  </si>
  <si>
    <t>Kyle</t>
  </si>
  <si>
    <t>mkyleg@blogs.com</t>
  </si>
  <si>
    <t>Palm</t>
  </si>
  <si>
    <t>TRUE</t>
  </si>
  <si>
    <t>ptrueh@howstuffworks.com</t>
  </si>
  <si>
    <t>Victoria</t>
  </si>
  <si>
    <t>Filyukov</t>
  </si>
  <si>
    <t>vfilyukovi@thetimes.co.uk</t>
  </si>
  <si>
    <t>Benedicto</t>
  </si>
  <si>
    <t>Selbach</t>
  </si>
  <si>
    <t>bselbachj@ning.com</t>
  </si>
  <si>
    <t>Kleon</t>
  </si>
  <si>
    <t>Mitrovic</t>
  </si>
  <si>
    <t>kmitrovick@opera.com</t>
  </si>
  <si>
    <t>Laird</t>
  </si>
  <si>
    <t>Grainger</t>
  </si>
  <si>
    <t>lgraingerl@4shared.com</t>
  </si>
  <si>
    <t>Essy</t>
  </si>
  <si>
    <t>Ruperti</t>
  </si>
  <si>
    <t>erupertim@theatlantic.com</t>
  </si>
  <si>
    <t>Juan</t>
  </si>
  <si>
    <t>Borrowman</t>
  </si>
  <si>
    <t>jborrowmann@xrea.com</t>
  </si>
  <si>
    <t>Queenie</t>
  </si>
  <si>
    <t>Moyer</t>
  </si>
  <si>
    <t>qmoyero@foxnews.com</t>
  </si>
  <si>
    <t>Byrom</t>
  </si>
  <si>
    <t>Soro</t>
  </si>
  <si>
    <t>bsorop@senate.gov</t>
  </si>
  <si>
    <t>Bealle</t>
  </si>
  <si>
    <t>Andreuzzi</t>
  </si>
  <si>
    <t>bandreuzziq@gov.uk</t>
  </si>
  <si>
    <t>Theodoric</t>
  </si>
  <si>
    <t>Bunny</t>
  </si>
  <si>
    <t>tbunnyr@shinystat.com</t>
  </si>
  <si>
    <t>NEA</t>
  </si>
  <si>
    <t>Hugh</t>
  </si>
  <si>
    <t>Lipsett</t>
  </si>
  <si>
    <t>hlipsetts@sbwire.com</t>
  </si>
  <si>
    <t>Martainn</t>
  </si>
  <si>
    <t>Burton</t>
  </si>
  <si>
    <t>mburtont@jigsy.com</t>
  </si>
  <si>
    <t>Marni</t>
  </si>
  <si>
    <t>Ruthven</t>
  </si>
  <si>
    <t>mruthvenu@cocolog-nifty.com</t>
  </si>
  <si>
    <t>Cristen</t>
  </si>
  <si>
    <t>Ottee</t>
  </si>
  <si>
    <t>cotteev@reference.com</t>
  </si>
  <si>
    <t>Rosemarie</t>
  </si>
  <si>
    <t>Swadling</t>
  </si>
  <si>
    <t>rswadlingw@weebly.com</t>
  </si>
  <si>
    <t>Karolina</t>
  </si>
  <si>
    <t>Husselbee</t>
  </si>
  <si>
    <t>khusselbeex@ezinearticles.com</t>
  </si>
  <si>
    <t>Matthew</t>
  </si>
  <si>
    <t>Rudderham</t>
  </si>
  <si>
    <t>mrudderhamy@mashable.com</t>
  </si>
  <si>
    <t>NOA</t>
  </si>
  <si>
    <t>Lothaire</t>
  </si>
  <si>
    <t>Bolderson</t>
  </si>
  <si>
    <t>lboldersonz@gov.uk</t>
  </si>
  <si>
    <t>Frederik</t>
  </si>
  <si>
    <t>Gook</t>
  </si>
  <si>
    <t>fgook10@newsvine.com</t>
  </si>
  <si>
    <t>Genevra</t>
  </si>
  <si>
    <t>Perree</t>
  </si>
  <si>
    <t>gperree11@usgs.gov</t>
  </si>
  <si>
    <t>Filippo</t>
  </si>
  <si>
    <t>Culkin</t>
  </si>
  <si>
    <t>fculkin12@people.com.cn</t>
  </si>
  <si>
    <t>Holli</t>
  </si>
  <si>
    <t>Cousans</t>
  </si>
  <si>
    <t>hcousans13@yelp.com</t>
  </si>
  <si>
    <t>Felisha</t>
  </si>
  <si>
    <t>Jayne</t>
  </si>
  <si>
    <t>fjayne14@mlb.com</t>
  </si>
  <si>
    <t>Myer</t>
  </si>
  <si>
    <t>Wattinham</t>
  </si>
  <si>
    <t>mwattinham15@oracle.com</t>
  </si>
  <si>
    <t>Brenda</t>
  </si>
  <si>
    <t>Buckel</t>
  </si>
  <si>
    <t>bbuckel16@acquirethisname.com</t>
  </si>
  <si>
    <t>Cyrill</t>
  </si>
  <si>
    <t>Runge</t>
  </si>
  <si>
    <t>crunge17@sfgate.com</t>
  </si>
  <si>
    <t>Doll</t>
  </si>
  <si>
    <t>Rye</t>
  </si>
  <si>
    <t>drye18@ezinearticles.com</t>
  </si>
  <si>
    <t>Slade</t>
  </si>
  <si>
    <t>Stockle</t>
  </si>
  <si>
    <t>sstockle19@slate.com</t>
  </si>
  <si>
    <t>Betteanne</t>
  </si>
  <si>
    <t>Pratley</t>
  </si>
  <si>
    <t>bpratley1a@archive.org</t>
  </si>
  <si>
    <t>Corbie</t>
  </si>
  <si>
    <t>Von Der Empten</t>
  </si>
  <si>
    <t>cvonderempten1b@printfriendly.com</t>
  </si>
  <si>
    <t>Sarita</t>
  </si>
  <si>
    <t>McAsgill</t>
  </si>
  <si>
    <t>smcasgill1c@flavors.me</t>
  </si>
  <si>
    <t>Nickolaus</t>
  </si>
  <si>
    <t>Coppins</t>
  </si>
  <si>
    <t>ncoppins1d@xrea.com</t>
  </si>
  <si>
    <t>Maire</t>
  </si>
  <si>
    <t>Rumble</t>
  </si>
  <si>
    <t>mrumble1e@blinklist.com</t>
  </si>
  <si>
    <t>Albrecht</t>
  </si>
  <si>
    <t>McGrirl</t>
  </si>
  <si>
    <t>amcgrirl1f@163.com</t>
  </si>
  <si>
    <t>Fitz</t>
  </si>
  <si>
    <t>Fuge</t>
  </si>
  <si>
    <t>ffuge1g@joomla.org</t>
  </si>
  <si>
    <t>Byram</t>
  </si>
  <si>
    <t>Ferenczi</t>
  </si>
  <si>
    <t>bferenczi1h@studiopress.com</t>
  </si>
  <si>
    <t>Amory</t>
  </si>
  <si>
    <t>Highnam</t>
  </si>
  <si>
    <t>ahighnam1i@cnbc.com</t>
  </si>
  <si>
    <t>Vevay</t>
  </si>
  <si>
    <t>Wellum</t>
  </si>
  <si>
    <t>vwellum1j@tumblr.com</t>
  </si>
  <si>
    <t>Olenolin</t>
  </si>
  <si>
    <t>Wakeman</t>
  </si>
  <si>
    <t>owakeman1k@mapy.cz</t>
  </si>
  <si>
    <t>Hilarius</t>
  </si>
  <si>
    <t>Abad</t>
  </si>
  <si>
    <t>habad1l@wisc.edu</t>
  </si>
  <si>
    <t>Morse</t>
  </si>
  <si>
    <t>Peters</t>
  </si>
  <si>
    <t>mpeters1m@sitemeter.com</t>
  </si>
  <si>
    <t>Lisabeth</t>
  </si>
  <si>
    <t>Murty</t>
  </si>
  <si>
    <t>lmurty1n@google.it</t>
  </si>
  <si>
    <t>Flore</t>
  </si>
  <si>
    <t>Astlatt</t>
  </si>
  <si>
    <t>fastlatt1o@discovery.com</t>
  </si>
  <si>
    <t>Paula</t>
  </si>
  <si>
    <t>Gittins</t>
  </si>
  <si>
    <t>pgittins1p@quantcast.com</t>
  </si>
  <si>
    <t>Yule</t>
  </si>
  <si>
    <t>Bruin</t>
  </si>
  <si>
    <t>ybruin1q@senate.gov</t>
  </si>
  <si>
    <t>Randolph</t>
  </si>
  <si>
    <t>Collicott</t>
  </si>
  <si>
    <t>rcollicott1r@miibeian.gov.cn</t>
  </si>
  <si>
    <t>Lillian</t>
  </si>
  <si>
    <t>Jizhaki</t>
  </si>
  <si>
    <t>ljizhaki1s@squidoo.com</t>
  </si>
  <si>
    <t>Regan</t>
  </si>
  <si>
    <t>Crocetti</t>
  </si>
  <si>
    <t>rcrocetti1t@csmonitor.com</t>
  </si>
  <si>
    <t>Avigdor</t>
  </si>
  <si>
    <t>Gorey</t>
  </si>
  <si>
    <t>agorey1u@tmall.com</t>
  </si>
  <si>
    <t>Miriam</t>
  </si>
  <si>
    <t>Domerque</t>
  </si>
  <si>
    <t>mdomerque1v@blogspot.com</t>
  </si>
  <si>
    <t>Ham</t>
  </si>
  <si>
    <t>Rapley</t>
  </si>
  <si>
    <t>hrapley1w@meetup.com</t>
  </si>
  <si>
    <t>Drugi</t>
  </si>
  <si>
    <t>Hancill</t>
  </si>
  <si>
    <t>dhancill1x@senate.gov</t>
  </si>
  <si>
    <t>Colly</t>
  </si>
  <si>
    <t>Blucher</t>
  </si>
  <si>
    <t>cblucher1y@youtube.com</t>
  </si>
  <si>
    <t>Amby</t>
  </si>
  <si>
    <t>Maltby</t>
  </si>
  <si>
    <t>amaltby1z@phoca.cz</t>
  </si>
  <si>
    <t>Akim</t>
  </si>
  <si>
    <t>Cruz</t>
  </si>
  <si>
    <t>acruz20@photobucket.com</t>
  </si>
  <si>
    <t>Huey</t>
  </si>
  <si>
    <t>Stead</t>
  </si>
  <si>
    <t>hstead21@vinaora.com</t>
  </si>
  <si>
    <t>Roma</t>
  </si>
  <si>
    <t>Battill</t>
  </si>
  <si>
    <t>rbattill22@ask.com</t>
  </si>
  <si>
    <t>Marlowe</t>
  </si>
  <si>
    <t>Bidgod</t>
  </si>
  <si>
    <t>mbidgod23@nationalgeographic.com</t>
  </si>
  <si>
    <t>Mickie</t>
  </si>
  <si>
    <t>Dellar</t>
  </si>
  <si>
    <t>mdellar24@meetup.com</t>
  </si>
  <si>
    <t>Gabbi</t>
  </si>
  <si>
    <t>Harnell</t>
  </si>
  <si>
    <t>gharnell25@tiny.cc</t>
  </si>
  <si>
    <t>Valentin</t>
  </si>
  <si>
    <t>Coard</t>
  </si>
  <si>
    <t>vcoard26@mayoclinic.com</t>
  </si>
  <si>
    <t>Aubry</t>
  </si>
  <si>
    <t>Stille</t>
  </si>
  <si>
    <t>astille27@bing.com</t>
  </si>
  <si>
    <t>Cthrine</t>
  </si>
  <si>
    <t>Waltho</t>
  </si>
  <si>
    <t>cwaltho28@sfgate.com</t>
  </si>
  <si>
    <t>Adham</t>
  </si>
  <si>
    <t>Leebeter</t>
  </si>
  <si>
    <t>aleebeter29@dedecms.com</t>
  </si>
  <si>
    <t>Nelia</t>
  </si>
  <si>
    <t>MacGow</t>
  </si>
  <si>
    <t>nmacgow2a@ibm.com</t>
  </si>
  <si>
    <t>Stefan</t>
  </si>
  <si>
    <t>Peddel</t>
  </si>
  <si>
    <t>speddel2b@biblegateway.com</t>
  </si>
  <si>
    <t>Curran</t>
  </si>
  <si>
    <t>Macari</t>
  </si>
  <si>
    <t>cmacari2c@arizona.edu</t>
  </si>
  <si>
    <t>Anjela</t>
  </si>
  <si>
    <t>Villaron</t>
  </si>
  <si>
    <t>avillaron2d@eventbrite.com</t>
  </si>
  <si>
    <t>Aeriel</t>
  </si>
  <si>
    <t>Garahan</t>
  </si>
  <si>
    <t>agarahan2e@sfgate.com</t>
  </si>
  <si>
    <t>Joan</t>
  </si>
  <si>
    <t>Broxis</t>
  </si>
  <si>
    <t>jbroxis2f@t.co</t>
  </si>
  <si>
    <t>Tawsha</t>
  </si>
  <si>
    <t>Olle</t>
  </si>
  <si>
    <t>tolle2g@bizjournals.com</t>
  </si>
  <si>
    <t>Pinchas</t>
  </si>
  <si>
    <t>Stollsteiner</t>
  </si>
  <si>
    <t>pstollsteiner2h@hostgator.com</t>
  </si>
  <si>
    <t>Haley</t>
  </si>
  <si>
    <t>Fain</t>
  </si>
  <si>
    <t>hfain2i@illinois.edu</t>
  </si>
  <si>
    <t>Vivianna</t>
  </si>
  <si>
    <t>Foulcher</t>
  </si>
  <si>
    <t>vfoulcher2j@pen.io</t>
  </si>
  <si>
    <t>Gay</t>
  </si>
  <si>
    <t>Allans</t>
  </si>
  <si>
    <t>gallans2k@simplemachines.org</t>
  </si>
  <si>
    <t>Cy</t>
  </si>
  <si>
    <t>Doreward</t>
  </si>
  <si>
    <t>cdoreward2l@so-net.ne.jp</t>
  </si>
  <si>
    <t>Anne-marie</t>
  </si>
  <si>
    <t>Kildahl</t>
  </si>
  <si>
    <t>akildahl2m@csmonitor.com</t>
  </si>
  <si>
    <t>Anallise</t>
  </si>
  <si>
    <t>Iacopini</t>
  </si>
  <si>
    <t>aiacopini2n@ihg.com</t>
  </si>
  <si>
    <t>Judah</t>
  </si>
  <si>
    <t>jdan2o@pagesperso-orange.fr</t>
  </si>
  <si>
    <t>Lin</t>
  </si>
  <si>
    <t>Godard</t>
  </si>
  <si>
    <t>lgodard2p@ihg.com</t>
  </si>
  <si>
    <t>Georgia</t>
  </si>
  <si>
    <t>McAlpine</t>
  </si>
  <si>
    <t>gmcalpine2q@de.vu</t>
  </si>
  <si>
    <t>Orv</t>
  </si>
  <si>
    <t>Hun</t>
  </si>
  <si>
    <t>ohun2r@goo.gl</t>
  </si>
  <si>
    <t>Vannie</t>
  </si>
  <si>
    <t>Kennermann</t>
  </si>
  <si>
    <t>vkennermann2s@blogtalkradio.com</t>
  </si>
  <si>
    <t>Seana</t>
  </si>
  <si>
    <t>Radbone</t>
  </si>
  <si>
    <t>sradbone2t@clickbank.net</t>
  </si>
  <si>
    <t>Adina</t>
  </si>
  <si>
    <t>Cleugh</t>
  </si>
  <si>
    <t>acleugh2u@springer.com</t>
  </si>
  <si>
    <t>Serena</t>
  </si>
  <si>
    <t>Wison</t>
  </si>
  <si>
    <t>swison2v@upenn.edu</t>
  </si>
  <si>
    <t>Yelena</t>
  </si>
  <si>
    <t>Gaytor</t>
  </si>
  <si>
    <t>ygaytor2w@tinyurl.com</t>
  </si>
  <si>
    <t>Benedikta</t>
  </si>
  <si>
    <t>Condon</t>
  </si>
  <si>
    <t>bcondon2x@paypal.com</t>
  </si>
  <si>
    <t>Gretna</t>
  </si>
  <si>
    <t>Kirwin</t>
  </si>
  <si>
    <t>gkirwin2y@bloglines.com</t>
  </si>
  <si>
    <t>Riley</t>
  </si>
  <si>
    <t>Obey</t>
  </si>
  <si>
    <t>robey2z@ucsd.edu</t>
  </si>
  <si>
    <t>Andie</t>
  </si>
  <si>
    <t>Arundale</t>
  </si>
  <si>
    <t>aarundale30@mapquest.com</t>
  </si>
  <si>
    <t>Joeann</t>
  </si>
  <si>
    <t>Muirden</t>
  </si>
  <si>
    <t>jmuirden31@ameblo.jp</t>
  </si>
  <si>
    <t>Ave</t>
  </si>
  <si>
    <t>Purchon</t>
  </si>
  <si>
    <t>apurchon32@cbc.ca</t>
  </si>
  <si>
    <t>Ellie</t>
  </si>
  <si>
    <t>Lockey</t>
  </si>
  <si>
    <t>elockey33@mozilla.org</t>
  </si>
  <si>
    <t>Phip</t>
  </si>
  <si>
    <t>Altree</t>
  </si>
  <si>
    <t>paltree34@indiatimes.com</t>
  </si>
  <si>
    <t>Fabien</t>
  </si>
  <si>
    <t>Roskam</t>
  </si>
  <si>
    <t>froskam35@desdev.cn</t>
  </si>
  <si>
    <t>Reyna</t>
  </si>
  <si>
    <t>Pontefract</t>
  </si>
  <si>
    <t>rpontefract36@yellowbook.com</t>
  </si>
  <si>
    <t>Hedda</t>
  </si>
  <si>
    <t>Garbott</t>
  </si>
  <si>
    <t>hgarbott37@noaa.gov</t>
  </si>
  <si>
    <t>Ginnie</t>
  </si>
  <si>
    <t>Saben</t>
  </si>
  <si>
    <t>gsaben38@shop-pro.jp</t>
  </si>
  <si>
    <t>Dallon</t>
  </si>
  <si>
    <t>Hedworth</t>
  </si>
  <si>
    <t>dhedworth39@samsung.com</t>
  </si>
  <si>
    <t>Chase</t>
  </si>
  <si>
    <t>Rayner</t>
  </si>
  <si>
    <t>crayner3a@netvibes.com</t>
  </si>
  <si>
    <t>Baxter</t>
  </si>
  <si>
    <t>Ritmeier</t>
  </si>
  <si>
    <t>britmeier3b@alibaba.com</t>
  </si>
  <si>
    <t>Mead</t>
  </si>
  <si>
    <t>Brandin</t>
  </si>
  <si>
    <t>mbrandin3c@purevolume.com</t>
  </si>
  <si>
    <t>Kerr</t>
  </si>
  <si>
    <t>Whitesel</t>
  </si>
  <si>
    <t>kwhitesel3d@indiatimes.com</t>
  </si>
  <si>
    <t>Reggie</t>
  </si>
  <si>
    <t>Thorwarth</t>
  </si>
  <si>
    <t>rthorwarth3e@blog.com</t>
  </si>
  <si>
    <t>Rustie</t>
  </si>
  <si>
    <t>Astlet</t>
  </si>
  <si>
    <t>rastlet3f@globo.com</t>
  </si>
  <si>
    <t>Minette</t>
  </si>
  <si>
    <t>Alchin</t>
  </si>
  <si>
    <t>malchin3g@census.gov</t>
  </si>
  <si>
    <t>Glory</t>
  </si>
  <si>
    <t>Hedling</t>
  </si>
  <si>
    <t>ghedling3h@dagondesign.com</t>
  </si>
  <si>
    <t>Jarrod</t>
  </si>
  <si>
    <t>Askham</t>
  </si>
  <si>
    <t>jaskham3i@lulu.com</t>
  </si>
  <si>
    <t>Becka</t>
  </si>
  <si>
    <t>Grinval</t>
  </si>
  <si>
    <t>bgrinval3j@vkontakte.ru</t>
  </si>
  <si>
    <t>Colby</t>
  </si>
  <si>
    <t>Kalderon</t>
  </si>
  <si>
    <t>ckalderon3k@earthlink.net</t>
  </si>
  <si>
    <t>Lori</t>
  </si>
  <si>
    <t>Oram</t>
  </si>
  <si>
    <t>loram3l@narod.ru</t>
  </si>
  <si>
    <t>Corby</t>
  </si>
  <si>
    <t>Lothlorien</t>
  </si>
  <si>
    <t>clothlorien3m@nhs.uk</t>
  </si>
  <si>
    <t>Cassie</t>
  </si>
  <si>
    <t>Corish</t>
  </si>
  <si>
    <t>ccorish3n@virginia.edu</t>
  </si>
  <si>
    <t>Peggi</t>
  </si>
  <si>
    <t>Sainsbury-Brown</t>
  </si>
  <si>
    <t>psainsburybrown3o@amazon.co.uk</t>
  </si>
  <si>
    <t>Zora</t>
  </si>
  <si>
    <t>Halvosen</t>
  </si>
  <si>
    <t>zhalvosen3p@acquirethisname.com</t>
  </si>
  <si>
    <t>Burgess</t>
  </si>
  <si>
    <t>Hawken</t>
  </si>
  <si>
    <t>bhawken3q@patch.com</t>
  </si>
  <si>
    <t>Silvana</t>
  </si>
  <si>
    <t>Jellard</t>
  </si>
  <si>
    <t>sjellard3r@blogspot.com</t>
  </si>
  <si>
    <t>Danica</t>
  </si>
  <si>
    <t>McKerron</t>
  </si>
  <si>
    <t>dmckerron3s@illinois.edu</t>
  </si>
  <si>
    <t>Osborn</t>
  </si>
  <si>
    <t>Pogue</t>
  </si>
  <si>
    <t>opogue3t@51.la</t>
  </si>
  <si>
    <t>Pamella</t>
  </si>
  <si>
    <t>Asker</t>
  </si>
  <si>
    <t>pasker3u@chron.com</t>
  </si>
  <si>
    <t>Estrella</t>
  </si>
  <si>
    <t>Hoggins</t>
  </si>
  <si>
    <t>ehoggins3v@homestead.com</t>
  </si>
  <si>
    <t>Adena</t>
  </si>
  <si>
    <t>Skirvane</t>
  </si>
  <si>
    <t>askirvane3w@shareasale.com</t>
  </si>
  <si>
    <t>Lisette</t>
  </si>
  <si>
    <t>Salle</t>
  </si>
  <si>
    <t>lsalle3x@geocities.com</t>
  </si>
  <si>
    <t>Gabriell</t>
  </si>
  <si>
    <t>Ralton</t>
  </si>
  <si>
    <t>gralton3y@wsj.com</t>
  </si>
  <si>
    <t>Maribeth</t>
  </si>
  <si>
    <t>Hearon</t>
  </si>
  <si>
    <t>mhearon3z@who.int</t>
  </si>
  <si>
    <t>Eugenius</t>
  </si>
  <si>
    <t>Bowness</t>
  </si>
  <si>
    <t>ebowness40@imgur.com</t>
  </si>
  <si>
    <t>Shea</t>
  </si>
  <si>
    <t>Castanaga</t>
  </si>
  <si>
    <t>scastanaga41@geocities.jp</t>
  </si>
  <si>
    <t>Temp</t>
  </si>
  <si>
    <t>Gerlts</t>
  </si>
  <si>
    <t>tgerlts42@mtv.com</t>
  </si>
  <si>
    <t>Nadeen</t>
  </si>
  <si>
    <t>Du Pre</t>
  </si>
  <si>
    <t>ndupre43@goo.gl</t>
  </si>
  <si>
    <t>Joell</t>
  </si>
  <si>
    <t>Abbey</t>
  </si>
  <si>
    <t>jabbey44@ucoz.com</t>
  </si>
  <si>
    <t>Eben</t>
  </si>
  <si>
    <t>Riche</t>
  </si>
  <si>
    <t>eriche45@icq.com</t>
  </si>
  <si>
    <t>Lance</t>
  </si>
  <si>
    <t>Dungey</t>
  </si>
  <si>
    <t>ldungey46@comcast.net</t>
  </si>
  <si>
    <t>Lora</t>
  </si>
  <si>
    <t>Mantione</t>
  </si>
  <si>
    <t>lmantione47@wikispaces.com</t>
  </si>
  <si>
    <t>Merola</t>
  </si>
  <si>
    <t>Sketcher</t>
  </si>
  <si>
    <t>msketcher48@dropbox.com</t>
  </si>
  <si>
    <t>Abagail</t>
  </si>
  <si>
    <t>Wetherby</t>
  </si>
  <si>
    <t>awetherby49@free.fr</t>
  </si>
  <si>
    <t>Sadie</t>
  </si>
  <si>
    <t>Linwood</t>
  </si>
  <si>
    <t>slinwood4a@miibeian.gov.cn</t>
  </si>
  <si>
    <t>Giulia</t>
  </si>
  <si>
    <t>Rudinger</t>
  </si>
  <si>
    <t>grudinger4b@alibaba.com</t>
  </si>
  <si>
    <t>Lammond</t>
  </si>
  <si>
    <t>McCaskill</t>
  </si>
  <si>
    <t>lmccaskill4c@sciencedirect.com</t>
  </si>
  <si>
    <t>Art</t>
  </si>
  <si>
    <t>Van der Velde</t>
  </si>
  <si>
    <t>avandervelde4d@infoseek.co.jp</t>
  </si>
  <si>
    <t>Cyril</t>
  </si>
  <si>
    <t>Pischel</t>
  </si>
  <si>
    <t>cpischel4e@comsenz.com</t>
  </si>
  <si>
    <t>Tedmund</t>
  </si>
  <si>
    <t>Etheridge</t>
  </si>
  <si>
    <t>tetheridge4f@flavors.me</t>
  </si>
  <si>
    <t>Effie</t>
  </si>
  <si>
    <t>Schrinel</t>
  </si>
  <si>
    <t>eschrinel4g@elegantthemes.com</t>
  </si>
  <si>
    <t>Libbie</t>
  </si>
  <si>
    <t>Faircliffe</t>
  </si>
  <si>
    <t>lfaircliffe4h@addtoany.com</t>
  </si>
  <si>
    <t>Bryanty</t>
  </si>
  <si>
    <t>Smurfitt</t>
  </si>
  <si>
    <t>bsmurfitt4i@bing.com</t>
  </si>
  <si>
    <t>Tybie</t>
  </si>
  <si>
    <t>Kemster</t>
  </si>
  <si>
    <t>tkemster4j@sfgate.com</t>
  </si>
  <si>
    <t>Tricia</t>
  </si>
  <si>
    <t>Gimert</t>
  </si>
  <si>
    <t>tgimert4k@deviantart.com</t>
  </si>
  <si>
    <t>Minta</t>
  </si>
  <si>
    <t>Sickling</t>
  </si>
  <si>
    <t>msickling4l@prlog.org</t>
  </si>
  <si>
    <t>Audi</t>
  </si>
  <si>
    <t>Kretchmer</t>
  </si>
  <si>
    <t>akretchmer4m@mit.edu</t>
  </si>
  <si>
    <t>Josephina</t>
  </si>
  <si>
    <t>Humbee</t>
  </si>
  <si>
    <t>jhumbee4n@cornell.edu</t>
  </si>
  <si>
    <t>Carlyle</t>
  </si>
  <si>
    <t>McWhirter</t>
  </si>
  <si>
    <t>cmcwhirter4o@cyberchimps.com</t>
  </si>
  <si>
    <t>Cchaddie</t>
  </si>
  <si>
    <t>Dametti</t>
  </si>
  <si>
    <t>cdametti4p@posterous.com</t>
  </si>
  <si>
    <t>Vladimir</t>
  </si>
  <si>
    <t>Orrill</t>
  </si>
  <si>
    <t>vorrill4q@youku.com</t>
  </si>
  <si>
    <t>Eulalie</t>
  </si>
  <si>
    <t>Vedeshkin</t>
  </si>
  <si>
    <t>evedeshkin4r@nytimes.com</t>
  </si>
  <si>
    <t>Alisander</t>
  </si>
  <si>
    <t>Raecroft</t>
  </si>
  <si>
    <t>araecroft4s@mediafire.com</t>
  </si>
  <si>
    <t>Darda</t>
  </si>
  <si>
    <t>Tarr</t>
  </si>
  <si>
    <t>dtarr4t@ca.gov</t>
  </si>
  <si>
    <t>Caron</t>
  </si>
  <si>
    <t>Raddon</t>
  </si>
  <si>
    <t>craddon4u@seattletimes.com</t>
  </si>
  <si>
    <t>Asa</t>
  </si>
  <si>
    <t>Lamplugh</t>
  </si>
  <si>
    <t>alamplugh4v@noaa.gov</t>
  </si>
  <si>
    <t>Irvin</t>
  </si>
  <si>
    <t>Normanville</t>
  </si>
  <si>
    <t>inormanville4w@amazon.co.uk</t>
  </si>
  <si>
    <t>Val</t>
  </si>
  <si>
    <t>Damarell</t>
  </si>
  <si>
    <t>vdamarell4x@google.nl</t>
  </si>
  <si>
    <t>Constantina</t>
  </si>
  <si>
    <t>Grimm</t>
  </si>
  <si>
    <t>cgrimm4y@cbsnews.com</t>
  </si>
  <si>
    <t>Audra</t>
  </si>
  <si>
    <t>Bleakley</t>
  </si>
  <si>
    <t>ableakley4z@oakley.com</t>
  </si>
  <si>
    <t>Isaak</t>
  </si>
  <si>
    <t>Seyers</t>
  </si>
  <si>
    <t>iseyers50@arizona.edu</t>
  </si>
  <si>
    <t>Bel</t>
  </si>
  <si>
    <t>Geeritz</t>
  </si>
  <si>
    <t>bgeeritz51@noaa.gov</t>
  </si>
  <si>
    <t>Bren</t>
  </si>
  <si>
    <t>Szreter</t>
  </si>
  <si>
    <t>bszreter52@youtube.com</t>
  </si>
  <si>
    <t>Winne</t>
  </si>
  <si>
    <t>Coaker</t>
  </si>
  <si>
    <t>wcoaker53@seattletimes.com</t>
  </si>
  <si>
    <t>Jody</t>
  </si>
  <si>
    <t>Ianelli</t>
  </si>
  <si>
    <t>jianelli54@networkadvertising.org</t>
  </si>
  <si>
    <t>Gabie</t>
  </si>
  <si>
    <t>Pawel</t>
  </si>
  <si>
    <t>gpawel55@mit.edu</t>
  </si>
  <si>
    <t>Elvin</t>
  </si>
  <si>
    <t>gelvin56@exblog.jp</t>
  </si>
  <si>
    <t>Libbey</t>
  </si>
  <si>
    <t>Carefull</t>
  </si>
  <si>
    <t>lcarefull57@google.ca</t>
  </si>
  <si>
    <t>Say</t>
  </si>
  <si>
    <t>Stanistreet</t>
  </si>
  <si>
    <t>sstanistreet58@google.de</t>
  </si>
  <si>
    <t>Derwin</t>
  </si>
  <si>
    <t>Fuzzard</t>
  </si>
  <si>
    <t>dfuzzard59@mashable.com</t>
  </si>
  <si>
    <t>Dominik</t>
  </si>
  <si>
    <t>Alejandro</t>
  </si>
  <si>
    <t>dalejandro5a@google.co.uk</t>
  </si>
  <si>
    <t>Dyan</t>
  </si>
  <si>
    <t>Marquis</t>
  </si>
  <si>
    <t>dmarquis5b@vk.com</t>
  </si>
  <si>
    <t>Harlan</t>
  </si>
  <si>
    <t>Andrzej</t>
  </si>
  <si>
    <t>handrzej5c@over-blog.com</t>
  </si>
  <si>
    <t>Kendra</t>
  </si>
  <si>
    <t>Emor</t>
  </si>
  <si>
    <t>kemor5d@wp.com</t>
  </si>
  <si>
    <t>Keene</t>
  </si>
  <si>
    <t>Cayley</t>
  </si>
  <si>
    <t>kcayley5e@opensource.org</t>
  </si>
  <si>
    <t>Arther</t>
  </si>
  <si>
    <t>Meynell</t>
  </si>
  <si>
    <t>ameynell5f@sun.com</t>
  </si>
  <si>
    <t>Hermon</t>
  </si>
  <si>
    <t>Forman</t>
  </si>
  <si>
    <t>hforman5g@home.pl</t>
  </si>
  <si>
    <t>Raviv</t>
  </si>
  <si>
    <t>Winson</t>
  </si>
  <si>
    <t>rwinson5h@omniture.com</t>
  </si>
  <si>
    <t>Enrique</t>
  </si>
  <si>
    <t>Grove</t>
  </si>
  <si>
    <t>egrove5i@usnews.com</t>
  </si>
  <si>
    <t>Cristobal</t>
  </si>
  <si>
    <t>Gorick</t>
  </si>
  <si>
    <t>cgorick5j@bluehost.com</t>
  </si>
  <si>
    <t>Ros</t>
  </si>
  <si>
    <t>Chrstine</t>
  </si>
  <si>
    <t>rchrstine5k@soundcloud.com</t>
  </si>
  <si>
    <t>Viola</t>
  </si>
  <si>
    <t>Wyke</t>
  </si>
  <si>
    <t>vwyke5l@apache.org</t>
  </si>
  <si>
    <t>Rafaellle</t>
  </si>
  <si>
    <t>Jayes</t>
  </si>
  <si>
    <t>rjayes5m@ameblo.jp</t>
  </si>
  <si>
    <t>Di</t>
  </si>
  <si>
    <t>Kasper</t>
  </si>
  <si>
    <t>dkasper5n@symantec.com</t>
  </si>
  <si>
    <t>Utterson</t>
  </si>
  <si>
    <t>butterson5o@webeden.co.uk</t>
  </si>
  <si>
    <t>Madeleine</t>
  </si>
  <si>
    <t>Toretta</t>
  </si>
  <si>
    <t>mtoretta5p@abc.net.au</t>
  </si>
  <si>
    <t>Gussi</t>
  </si>
  <si>
    <t>Paslow</t>
  </si>
  <si>
    <t>gpaslow5q@europa.eu</t>
  </si>
  <si>
    <t>Frederique</t>
  </si>
  <si>
    <t>Bartholomaus</t>
  </si>
  <si>
    <t>fbartholomaus5r@vkontakte.ru</t>
  </si>
  <si>
    <t>Burr</t>
  </si>
  <si>
    <t>Jiricka</t>
  </si>
  <si>
    <t>bjiricka5s@icq.com</t>
  </si>
  <si>
    <t>Hendrika</t>
  </si>
  <si>
    <t>Smylie</t>
  </si>
  <si>
    <t>hsmylie5t@sbwire.com</t>
  </si>
  <si>
    <t>Lilli</t>
  </si>
  <si>
    <t>Hayers</t>
  </si>
  <si>
    <t>lhayers5u@alibaba.com</t>
  </si>
  <si>
    <t>Justin</t>
  </si>
  <si>
    <t>Featherstonehaugh</t>
  </si>
  <si>
    <t>jfeatherstonehaugh5v@e-recht24.de</t>
  </si>
  <si>
    <t>Cornelia</t>
  </si>
  <si>
    <t>Alberti</t>
  </si>
  <si>
    <t>calberti5w@ibm.com</t>
  </si>
  <si>
    <t>Pippy</t>
  </si>
  <si>
    <t>Pirot</t>
  </si>
  <si>
    <t>ppirot5x@t-online.de</t>
  </si>
  <si>
    <t>Addison</t>
  </si>
  <si>
    <t>Trask</t>
  </si>
  <si>
    <t>atrask5y@goo.ne.jp</t>
  </si>
  <si>
    <t>Tandie</t>
  </si>
  <si>
    <t>Arrowsmith</t>
  </si>
  <si>
    <t>tarrowsmith5z@arizona.edu</t>
  </si>
  <si>
    <t>Derrick</t>
  </si>
  <si>
    <t>Giraldo</t>
  </si>
  <si>
    <t>dgiraldo60@cdbaby.com</t>
  </si>
  <si>
    <t>Ingeborg</t>
  </si>
  <si>
    <t>Downey</t>
  </si>
  <si>
    <t>idowney61@hexun.com</t>
  </si>
  <si>
    <t>Obediah</t>
  </si>
  <si>
    <t>Clineck</t>
  </si>
  <si>
    <t>oclineck62@accuweather.com</t>
  </si>
  <si>
    <t>Ilyssa</t>
  </si>
  <si>
    <t>Camus</t>
  </si>
  <si>
    <t>icamus63@cnn.com</t>
  </si>
  <si>
    <t>Hildagarde</t>
  </si>
  <si>
    <t>Mouton</t>
  </si>
  <si>
    <t>hmouton64@indiatimes.com</t>
  </si>
  <si>
    <t>Connor</t>
  </si>
  <si>
    <t>Simoneton</t>
  </si>
  <si>
    <t>csimoneton65@adobe.com</t>
  </si>
  <si>
    <t>Muldoon</t>
  </si>
  <si>
    <t>lmuldoon66@mozilla.com</t>
  </si>
  <si>
    <t>Katey</t>
  </si>
  <si>
    <t>Gritland</t>
  </si>
  <si>
    <t>kgritland67@odnoklassniki.ru</t>
  </si>
  <si>
    <t>Charlton</t>
  </si>
  <si>
    <t>Amphlett</t>
  </si>
  <si>
    <t>camphlett68@dailymotion.com</t>
  </si>
  <si>
    <t>Jerry</t>
  </si>
  <si>
    <t>Beiderbecke</t>
  </si>
  <si>
    <t>jbeiderbecke69@arizona.edu</t>
  </si>
  <si>
    <t>Falkner</t>
  </si>
  <si>
    <t>Heggs</t>
  </si>
  <si>
    <t>fheggs6a@buzzfeed.com</t>
  </si>
  <si>
    <t>Griff</t>
  </si>
  <si>
    <t>Kearey</t>
  </si>
  <si>
    <t>gkearey6b@ebay.co.uk</t>
  </si>
  <si>
    <t>Angy</t>
  </si>
  <si>
    <t>Quiney</t>
  </si>
  <si>
    <t>aquiney6c@state.gov</t>
  </si>
  <si>
    <t>Alvira</t>
  </si>
  <si>
    <t>Gimber</t>
  </si>
  <si>
    <t>agimber6d@ning.com</t>
  </si>
  <si>
    <t>Rani</t>
  </si>
  <si>
    <t>Chattelaine</t>
  </si>
  <si>
    <t>rchattelaine6e@list-manage.com</t>
  </si>
  <si>
    <t>Truda</t>
  </si>
  <si>
    <t>Staddon</t>
  </si>
  <si>
    <t>tstaddon6f@ox.ac.uk</t>
  </si>
  <si>
    <t>Stefania</t>
  </si>
  <si>
    <t>Jephson</t>
  </si>
  <si>
    <t>sjephson6g@jigsy.com</t>
  </si>
  <si>
    <t>Christopher</t>
  </si>
  <si>
    <t>Bootland</t>
  </si>
  <si>
    <t>cbootland6h@usnews.com</t>
  </si>
  <si>
    <t>Cloe</t>
  </si>
  <si>
    <t>Brun</t>
  </si>
  <si>
    <t>cbrun6i@theglobeandmail.com</t>
  </si>
  <si>
    <t>Ignacio</t>
  </si>
  <si>
    <t>Klimashevich</t>
  </si>
  <si>
    <t>iklimashevich6j@xinhuanet.com</t>
  </si>
  <si>
    <t>Nikki</t>
  </si>
  <si>
    <t>Dalgetty</t>
  </si>
  <si>
    <t>ndalgetty6k@berkeley.edu</t>
  </si>
  <si>
    <t>Kaine</t>
  </si>
  <si>
    <t>Jasper</t>
  </si>
  <si>
    <t>kjasper6l@drupal.org</t>
  </si>
  <si>
    <t>Herbie</t>
  </si>
  <si>
    <t>Puttick</t>
  </si>
  <si>
    <t>hputtick6m@hc360.com</t>
  </si>
  <si>
    <t>Lara</t>
  </si>
  <si>
    <t>Skedgell</t>
  </si>
  <si>
    <t>lskedgell6n@deviantart.com</t>
  </si>
  <si>
    <t>Jeremiah</t>
  </si>
  <si>
    <t>Cosgrave</t>
  </si>
  <si>
    <t>jcosgrave6o@ning.com</t>
  </si>
  <si>
    <t>Hellens</t>
  </si>
  <si>
    <t>ehellens6p@moonfruit.com</t>
  </si>
  <si>
    <t>Gerta</t>
  </si>
  <si>
    <t>Shervington</t>
  </si>
  <si>
    <t>gshervington6q@hao123.com</t>
  </si>
  <si>
    <t>Francesca</t>
  </si>
  <si>
    <t>Barter</t>
  </si>
  <si>
    <t>fbarter6r@fc2.com</t>
  </si>
  <si>
    <t>Ortensia</t>
  </si>
  <si>
    <t>Ruppeli</t>
  </si>
  <si>
    <t>oruppeli6s@paypal.com</t>
  </si>
  <si>
    <t>Almira</t>
  </si>
  <si>
    <t>Zottoli</t>
  </si>
  <si>
    <t>azottoli6t@prweb.com</t>
  </si>
  <si>
    <t>Silvio</t>
  </si>
  <si>
    <t>Butterfield</t>
  </si>
  <si>
    <t>sbutterfield6u@seattletimes.com</t>
  </si>
  <si>
    <t>Benito</t>
  </si>
  <si>
    <t>Craythorne</t>
  </si>
  <si>
    <t>bcraythorne6v@bloomberg.com</t>
  </si>
  <si>
    <t>Dilly</t>
  </si>
  <si>
    <t>Gaveltone</t>
  </si>
  <si>
    <t>dgaveltone6w@oracle.com</t>
  </si>
  <si>
    <t>Stacy</t>
  </si>
  <si>
    <t>Scading</t>
  </si>
  <si>
    <t>sscading6x@google.co.jp</t>
  </si>
  <si>
    <t>Cristian</t>
  </si>
  <si>
    <t>Micka</t>
  </si>
  <si>
    <t>cmicka6y@paginegialle.it</t>
  </si>
  <si>
    <t>Emmalynne</t>
  </si>
  <si>
    <t>Chew</t>
  </si>
  <si>
    <t>echew6z@smh.com.au</t>
  </si>
  <si>
    <t>Alastair</t>
  </si>
  <si>
    <t>Scedall</t>
  </si>
  <si>
    <t>ascedall70@purevolume.com</t>
  </si>
  <si>
    <t>Dunc</t>
  </si>
  <si>
    <t>Battersby</t>
  </si>
  <si>
    <t>dbattersby71@salon.com</t>
  </si>
  <si>
    <t>Merry</t>
  </si>
  <si>
    <t>Zoren</t>
  </si>
  <si>
    <t>mzoren72@webeden.co.uk</t>
  </si>
  <si>
    <t>Felita</t>
  </si>
  <si>
    <t>Duny</t>
  </si>
  <si>
    <t>fduny73@narod.ru</t>
  </si>
  <si>
    <t>Amalie</t>
  </si>
  <si>
    <t>Persitt</t>
  </si>
  <si>
    <t>apersitt74@paypal.com</t>
  </si>
  <si>
    <t>Izabel</t>
  </si>
  <si>
    <t>Starten</t>
  </si>
  <si>
    <t>istarten75@pen.io</t>
  </si>
  <si>
    <t>Nobe</t>
  </si>
  <si>
    <t>Van Hault</t>
  </si>
  <si>
    <t>nvanhault76@dion.ne.jp</t>
  </si>
  <si>
    <t>Cyrille</t>
  </si>
  <si>
    <t>Mulligan</t>
  </si>
  <si>
    <t>cmulligan77@gravatar.com</t>
  </si>
  <si>
    <t>Carlita</t>
  </si>
  <si>
    <t>McArdell</t>
  </si>
  <si>
    <t>cmcardell78@gmpg.org</t>
  </si>
  <si>
    <t>Cairistiona</t>
  </si>
  <si>
    <t>Trevan</t>
  </si>
  <si>
    <t>ctrevan79@xrea.com</t>
  </si>
  <si>
    <t>Onfre</t>
  </si>
  <si>
    <t>Burdekin</t>
  </si>
  <si>
    <t>oburdekin7a@wordpress.org</t>
  </si>
  <si>
    <t>Vivien</t>
  </si>
  <si>
    <t>Demeza</t>
  </si>
  <si>
    <t>vdemeza7b@addtoany.com</t>
  </si>
  <si>
    <t>Valeria</t>
  </si>
  <si>
    <t>Tyres</t>
  </si>
  <si>
    <t>vtyres7c@ebay.co.uk</t>
  </si>
  <si>
    <t>Tabbie</t>
  </si>
  <si>
    <t>Hintzer</t>
  </si>
  <si>
    <t>thintzer7d@canalblog.com</t>
  </si>
  <si>
    <t>Marielle</t>
  </si>
  <si>
    <t>Mickelwright</t>
  </si>
  <si>
    <t>mmickelwright7e@behance.net</t>
  </si>
  <si>
    <t>Thom</t>
  </si>
  <si>
    <t>Gantzer</t>
  </si>
  <si>
    <t>tgantzer7f@state.gov</t>
  </si>
  <si>
    <t>Merill</t>
  </si>
  <si>
    <t>Gogin</t>
  </si>
  <si>
    <t>mgogin7g@whitehouse.gov</t>
  </si>
  <si>
    <t>Davide</t>
  </si>
  <si>
    <t>Dukes</t>
  </si>
  <si>
    <t>ddukes7h@slideshare.net</t>
  </si>
  <si>
    <t>Lotta</t>
  </si>
  <si>
    <t>Matteacci</t>
  </si>
  <si>
    <t>lmatteacci7i@tripod.com</t>
  </si>
  <si>
    <t>Phillipson</t>
  </si>
  <si>
    <t>nphillipson7j@fema.gov</t>
  </si>
  <si>
    <t>Miller</t>
  </si>
  <si>
    <t>Cazereau</t>
  </si>
  <si>
    <t>mcazereau7k@squarespace.com</t>
  </si>
  <si>
    <t>Darby</t>
  </si>
  <si>
    <t>Gerasch</t>
  </si>
  <si>
    <t>dgerasch7l@usatoday.com</t>
  </si>
  <si>
    <t>Perrine</t>
  </si>
  <si>
    <t>Enstone</t>
  </si>
  <si>
    <t>penstone7m@nationalgeographic.com</t>
  </si>
  <si>
    <t>McQueen</t>
  </si>
  <si>
    <t>bmcqueen7n@goo.ne.jp</t>
  </si>
  <si>
    <t>Hearne</t>
  </si>
  <si>
    <t>phearne7o@goo.ne.jp</t>
  </si>
  <si>
    <t>Rouvin</t>
  </si>
  <si>
    <t>Ohrt</t>
  </si>
  <si>
    <t>rohrt7p@devhub.com</t>
  </si>
  <si>
    <t>Weall</t>
  </si>
  <si>
    <t>bweall7q@marriott.com</t>
  </si>
  <si>
    <t>Keriann</t>
  </si>
  <si>
    <t>Doore</t>
  </si>
  <si>
    <t>kdoore7r@hibu.com</t>
  </si>
  <si>
    <t>Issie</t>
  </si>
  <si>
    <t>Hendonson</t>
  </si>
  <si>
    <t>ihendonson7s@google.de</t>
  </si>
  <si>
    <t>Lowrance</t>
  </si>
  <si>
    <t>Coward</t>
  </si>
  <si>
    <t>lcoward7t@telegraph.co.uk</t>
  </si>
  <si>
    <t>Lincoln</t>
  </si>
  <si>
    <t>lkennermann7u@barnesandnoble.com</t>
  </si>
  <si>
    <t>Vanna</t>
  </si>
  <si>
    <t>Milliken</t>
  </si>
  <si>
    <t>vmilliken7v@redcross.org</t>
  </si>
  <si>
    <t>Red</t>
  </si>
  <si>
    <t>Cutmare</t>
  </si>
  <si>
    <t>rcutmare7w@woothemes.com</t>
  </si>
  <si>
    <t>Mikael</t>
  </si>
  <si>
    <t>Freckingham</t>
  </si>
  <si>
    <t>mfreckingham7x@wordpress.com</t>
  </si>
  <si>
    <t>Son</t>
  </si>
  <si>
    <t>Klesse</t>
  </si>
  <si>
    <t>sklesse7y@sohu.com</t>
  </si>
  <si>
    <t>Leoline</t>
  </si>
  <si>
    <t>Hessel</t>
  </si>
  <si>
    <t>lhessel7z@umn.edu</t>
  </si>
  <si>
    <t>Fran</t>
  </si>
  <si>
    <t>McCullen</t>
  </si>
  <si>
    <t>fmccullen80@myspace.com</t>
  </si>
  <si>
    <t>Melinda</t>
  </si>
  <si>
    <t>Water</t>
  </si>
  <si>
    <t>mwater81@huffingtonpost.com</t>
  </si>
  <si>
    <t>Kean</t>
  </si>
  <si>
    <t>Devoy</t>
  </si>
  <si>
    <t>kdevoy82@sphinn.com</t>
  </si>
  <si>
    <t>Larisa</t>
  </si>
  <si>
    <t>Eustace</t>
  </si>
  <si>
    <t>leustace83@shutterfly.com</t>
  </si>
  <si>
    <t>Sebastian</t>
  </si>
  <si>
    <t>Portman</t>
  </si>
  <si>
    <t>sportman84@dmoz.org</t>
  </si>
  <si>
    <t>Alon</t>
  </si>
  <si>
    <t>Gorch</t>
  </si>
  <si>
    <t>agorch85@nifty.com</t>
  </si>
  <si>
    <t>Denise</t>
  </si>
  <si>
    <t>Domsalla</t>
  </si>
  <si>
    <t>ddomsalla86@nih.gov</t>
  </si>
  <si>
    <t>Christean</t>
  </si>
  <si>
    <t>Branigan</t>
  </si>
  <si>
    <t>cbranigan87@dmoz.org</t>
  </si>
  <si>
    <t>Hadleigh</t>
  </si>
  <si>
    <t>McGilben</t>
  </si>
  <si>
    <t>hmcgilben88@typepad.com</t>
  </si>
  <si>
    <t>Osborne</t>
  </si>
  <si>
    <t>Bruton</t>
  </si>
  <si>
    <t>obruton89@oracle.com</t>
  </si>
  <si>
    <t>Simone</t>
  </si>
  <si>
    <t>Tonkes</t>
  </si>
  <si>
    <t>stonkes8a@exblog.jp</t>
  </si>
  <si>
    <t>Marilin</t>
  </si>
  <si>
    <t>Lodin</t>
  </si>
  <si>
    <t>mlodin8b@shop-pro.jp</t>
  </si>
  <si>
    <t>Nannie</t>
  </si>
  <si>
    <t>Toseland</t>
  </si>
  <si>
    <t>ntoseland8c@typepad.com</t>
  </si>
  <si>
    <t>Ferris</t>
  </si>
  <si>
    <t>Duggan</t>
  </si>
  <si>
    <t>fduggan8d@ebay.co.uk</t>
  </si>
  <si>
    <t>Sorcha</t>
  </si>
  <si>
    <t>Leaver</t>
  </si>
  <si>
    <t>sleaver8e@tripod.com</t>
  </si>
  <si>
    <t>Arch</t>
  </si>
  <si>
    <t>Jurasz</t>
  </si>
  <si>
    <t>ajurasz8f@e-recht24.de</t>
  </si>
  <si>
    <t>Karyn</t>
  </si>
  <si>
    <t>Foucard</t>
  </si>
  <si>
    <t>kfoucard8g@furl.net</t>
  </si>
  <si>
    <t>Donna</t>
  </si>
  <si>
    <t>Zamora</t>
  </si>
  <si>
    <t>dzamora8h@mit.edu</t>
  </si>
  <si>
    <t>Shelba</t>
  </si>
  <si>
    <t>Elcombe</t>
  </si>
  <si>
    <t>selcombe8i@ustream.tv</t>
  </si>
  <si>
    <t>Robin</t>
  </si>
  <si>
    <t>Shelp</t>
  </si>
  <si>
    <t>rshelp8j@ebay.co.uk</t>
  </si>
  <si>
    <t>Aggy</t>
  </si>
  <si>
    <t>Warman</t>
  </si>
  <si>
    <t>awarman8k@prnewswire.com</t>
  </si>
  <si>
    <t>Kenyon</t>
  </si>
  <si>
    <t>Grain</t>
  </si>
  <si>
    <t>kgrain8l@t.co</t>
  </si>
  <si>
    <t>Sebastien</t>
  </si>
  <si>
    <t>Tunesi</t>
  </si>
  <si>
    <t>stunesi8m@ox.ac.uk</t>
  </si>
  <si>
    <t>Late</t>
  </si>
  <si>
    <t>glate8n@walmart.com</t>
  </si>
  <si>
    <t>Jeralee</t>
  </si>
  <si>
    <t>Mccaull</t>
  </si>
  <si>
    <t>jmccaull8o@uol.com.br</t>
  </si>
  <si>
    <t>Abelard</t>
  </si>
  <si>
    <t>Bassett</t>
  </si>
  <si>
    <t>abassett8p@google.fr</t>
  </si>
  <si>
    <t>Anastasia</t>
  </si>
  <si>
    <t>Craighill</t>
  </si>
  <si>
    <t>acraighill8q@hhs.gov</t>
  </si>
  <si>
    <t>Glyn</t>
  </si>
  <si>
    <t>Hourston</t>
  </si>
  <si>
    <t>ghourston8r@umich.edu</t>
  </si>
  <si>
    <t>Ricard</t>
  </si>
  <si>
    <t>Dupoy</t>
  </si>
  <si>
    <t>rdupoy8s@domainmarket.com</t>
  </si>
  <si>
    <t>Gustave</t>
  </si>
  <si>
    <t>Chatainier</t>
  </si>
  <si>
    <t>gchatainier8t@house.gov</t>
  </si>
  <si>
    <t>Byrle</t>
  </si>
  <si>
    <t>Crinidge</t>
  </si>
  <si>
    <t>bcrinidge8u@live.com</t>
  </si>
  <si>
    <t>Aubert</t>
  </si>
  <si>
    <t>Caddie</t>
  </si>
  <si>
    <t>acaddie8v@reference.com</t>
  </si>
  <si>
    <t>Bent</t>
  </si>
  <si>
    <t>Auld</t>
  </si>
  <si>
    <t>bauld8w@odnoklassniki.ru</t>
  </si>
  <si>
    <t>Ortelt</t>
  </si>
  <si>
    <t>hortelt8x@google.com.hk</t>
  </si>
  <si>
    <t>Issiah</t>
  </si>
  <si>
    <t>Schoales</t>
  </si>
  <si>
    <t>ischoales8y@twitter.com</t>
  </si>
  <si>
    <t>Nalani</t>
  </si>
  <si>
    <t>Steggals</t>
  </si>
  <si>
    <t>nsteggals8z@nhs.uk</t>
  </si>
  <si>
    <t>Rowland</t>
  </si>
  <si>
    <t>Riddington</t>
  </si>
  <si>
    <t>rriddington90@friendfeed.com</t>
  </si>
  <si>
    <t>Friedrick</t>
  </si>
  <si>
    <t>Paulucci</t>
  </si>
  <si>
    <t>fpaulucci91@arstechnica.com</t>
  </si>
  <si>
    <t>ID_Categoria</t>
  </si>
  <si>
    <t>Categoría</t>
  </si>
  <si>
    <t>Descripción</t>
  </si>
  <si>
    <t>Lácteos</t>
  </si>
  <si>
    <t>Productos lácteos frescos y procesados, como leche, yogur, queso y manteca.</t>
  </si>
  <si>
    <t>Carnicería</t>
  </si>
  <si>
    <t>Carnes frescas y procesadas, como carne de vaca, cerdo, pollo y embutidos.</t>
  </si>
  <si>
    <t>Panadería</t>
  </si>
  <si>
    <t>Productos horneados frescos, como pan, facturas, medialunas y tortas.</t>
  </si>
  <si>
    <t>Frutas y Verduras</t>
  </si>
  <si>
    <t>Frutas y verduras frescas, locales e importadas, para consumo diario.</t>
  </si>
  <si>
    <t>Congelados</t>
  </si>
  <si>
    <t>Productos congelados, como papas fritas, empanadas, pizzas y verduras congeladas.</t>
  </si>
  <si>
    <t>Bebidas</t>
  </si>
  <si>
    <t>Bebidas de todo tipo, como agua, jugos, refrescos, cerveza, vino y bebidas espirituosas.</t>
  </si>
  <si>
    <t>Galletitas y Snacks</t>
  </si>
  <si>
    <t>Productos de snack, como galletitas, papas chips, maníes y otros productos para merendar.</t>
  </si>
  <si>
    <t>Conservas</t>
  </si>
  <si>
    <t>Productos alimenticios enlatados o envasados, como arroz, lentejas, garbanzos y atún.</t>
  </si>
  <si>
    <t>ID_Producto</t>
  </si>
  <si>
    <t>Nombre_producto</t>
  </si>
  <si>
    <t>Precio_Unitario</t>
  </si>
  <si>
    <t>Stock</t>
  </si>
  <si>
    <t>Leche</t>
  </si>
  <si>
    <t>Yogur</t>
  </si>
  <si>
    <t>Queso cremoso</t>
  </si>
  <si>
    <t>Queso rallado</t>
  </si>
  <si>
    <t>Manteca</t>
  </si>
  <si>
    <t>Asado</t>
  </si>
  <si>
    <t>Chorizo</t>
  </si>
  <si>
    <t>Milanesa</t>
  </si>
  <si>
    <t>Pollo</t>
  </si>
  <si>
    <t>Costilla de cerdo</t>
  </si>
  <si>
    <t>Salchicha</t>
  </si>
  <si>
    <t>Pan francés</t>
  </si>
  <si>
    <t>Pan integral</t>
  </si>
  <si>
    <t>Facturas</t>
  </si>
  <si>
    <t>Medialunas</t>
  </si>
  <si>
    <t>Tortas</t>
  </si>
  <si>
    <t>Manzanas</t>
  </si>
  <si>
    <t>Bananas</t>
  </si>
  <si>
    <t>Tomates</t>
  </si>
  <si>
    <t>Lechugas</t>
  </si>
  <si>
    <t>Zanahorias</t>
  </si>
  <si>
    <t>Cebolla</t>
  </si>
  <si>
    <t>Papas fritas</t>
  </si>
  <si>
    <t>Empanadas</t>
  </si>
  <si>
    <t>Pizza congelada</t>
  </si>
  <si>
    <t>Hamburgesas congeladas</t>
  </si>
  <si>
    <t>Agua mineral</t>
  </si>
  <si>
    <t>Jugos de frutas</t>
  </si>
  <si>
    <t>Cerveza</t>
  </si>
  <si>
    <t>Vino tinto</t>
  </si>
  <si>
    <t>Galletitas de agua</t>
  </si>
  <si>
    <t>Galletitas de chocolate</t>
  </si>
  <si>
    <t>Papas chips</t>
  </si>
  <si>
    <t>Maníes</t>
  </si>
  <si>
    <t>Arroz</t>
  </si>
  <si>
    <t>Lentejas</t>
  </si>
  <si>
    <t>Garbanzos</t>
  </si>
  <si>
    <t>Atún enlatado</t>
  </si>
  <si>
    <t>ID_Venta</t>
  </si>
  <si>
    <t>Fecha</t>
  </si>
  <si>
    <t>Cantidad</t>
  </si>
  <si>
    <t>Método_Pago</t>
  </si>
  <si>
    <t>Estado</t>
  </si>
  <si>
    <t>Completa</t>
  </si>
  <si>
    <t>Pendiente</t>
  </si>
  <si>
    <t>Cancelada</t>
  </si>
  <si>
    <t>ID_Metodo</t>
  </si>
  <si>
    <t>Método</t>
  </si>
  <si>
    <t>Efectivo</t>
  </si>
  <si>
    <t>Pago en dinero en efectivo, sin intermediarios financieros.</t>
  </si>
  <si>
    <t>Tarjeta de Crédito</t>
  </si>
  <si>
    <t>Pago con tarjetas emitidas por bancos y financieras, con la opción de pago a crédito.</t>
  </si>
  <si>
    <t>Tarjeta de Débito</t>
  </si>
  <si>
    <t>Pago con tarjetas que debitán directamente de la cuenta bancaria del titular.</t>
  </si>
  <si>
    <t>Mercado Pago</t>
  </si>
  <si>
    <t>Plataforma de pagos online que permite realizar transacciones con tarjetas, cuenta bancaria o efectivo.</t>
  </si>
  <si>
    <t>Transferencia</t>
  </si>
  <si>
    <t>Pago realizado a través de una transferencia de fondos entre cuentas bancarias.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</si>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</sst>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164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5BC5E48-B92E-4BC4-972A-0597DF313EA2}" autoFormatId="16" applyNumberFormats="0" applyBorderFormats="0" applyFontFormats="0" applyPatternFormats="0" applyAlignmentFormats="0" applyWidthHeightFormats="0">
  <queryTableRefresh nextId="7">
    <queryTableFields count="6">
      <queryTableField id="1" name="ID_Cliente" tableColumnId="1"/>
      <queryTableField id="2" name="Nombre" tableColumnId="2"/>
      <queryTableField id="3" name="Apellido" tableColumnId="3"/>
      <queryTableField id="4" name="Email" tableColumnId="4"/>
      <queryTableField id="5" name="Fecha_Registro" tableColumnId="5"/>
      <queryTableField id="6" name="Región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8FDED877-8DCB-4996-8555-C9B96DF94CA3}" autoFormatId="16" applyNumberFormats="0" applyBorderFormats="0" applyFontFormats="0" applyPatternFormats="0" applyAlignmentFormats="0" applyWidthHeightFormats="0">
  <queryTableRefresh nextId="4">
    <queryTableFields count="3">
      <queryTableField id="1" name="ID_Categoria" tableColumnId="1"/>
      <queryTableField id="2" name="Categoría" tableColumnId="2"/>
      <queryTableField id="3" name="Descripció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connectionId="3" xr16:uid="{DD7367A7-61FB-4916-A547-A38D0BA2A605}" autoFormatId="16" applyNumberFormats="0" applyBorderFormats="0" applyFontFormats="0" applyPatternFormats="0" applyAlignmentFormats="0" applyWidthHeightFormats="0">
  <queryTableRefresh nextId="4">
    <queryTableFields count="3">
      <queryTableField id="1" name="ID_Metodo" tableColumnId="1"/>
      <queryTableField id="2" name="Método" tableColumnId="2"/>
      <queryTableField id="3" name="Descripció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0FF9263F-9508-4FF0-A223-2D5E46764994}" autoFormatId="16" applyNumberFormats="0" applyBorderFormats="0" applyFontFormats="0" applyPatternFormats="0" applyAlignmentFormats="0" applyWidthHeightFormats="0">
  <queryTableRefresh nextId="10" unboundColumnsRight="2">
    <queryTableFields count="9">
      <queryTableField id="1" name="ID_Venta" tableColumnId="1"/>
      <queryTableField id="2" name="Fecha" tableColumnId="2"/>
      <queryTableField id="3" name="ID_Cliente" tableColumnId="3"/>
      <queryTableField id="4" name="ID_Producto" tableColumnId="4"/>
      <queryTableField id="5" name="Cantidad" tableColumnId="5"/>
      <queryTableField id="6" name="Método_Pago" tableColumnId="6"/>
      <queryTableField id="7" name="Estado" tableColumnId="7"/>
      <queryTableField id="8" dataBound="0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4" xr16:uid="{0ECA8E31-ED20-47E4-BEAB-B605325613BE}" autoFormatId="16" applyNumberFormats="0" applyBorderFormats="0" applyFontFormats="0" applyPatternFormats="0" applyAlignmentFormats="0" applyWidthHeightFormats="0">
  <queryTableRefresh nextId="6">
    <queryTableFields count="5">
      <queryTableField id="1" name="ID_Producto" tableColumnId="1"/>
      <queryTableField id="2" name="Nombre_producto" tableColumnId="2"/>
      <queryTableField id="3" name="Categoría" tableColumnId="3"/>
      <queryTableField id="4" name="Precio_Unitario" tableColumnId="4"/>
      <queryTableField id="5" name="Stock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7EDA43-5904-4D9B-85D0-2BF177686573}" name="clientes" displayName="clientes" ref="A1:F327" tableType="queryTable" totalsRowShown="0">
  <autoFilter ref="A1:F327" xr:uid="{AA7EDA43-5904-4D9B-85D0-2BF177686573}"/>
  <tableColumns count="6">
    <tableColumn id="1" xr3:uid="{FB73D482-FD66-47EA-A9CE-9250DA6F017E}" uniqueName="1" name="ID_Cliente" queryTableFieldId="1"/>
    <tableColumn id="2" xr3:uid="{279702BC-683C-4834-9EFE-5ED0D642E7CB}" uniqueName="2" name="Nombre" queryTableFieldId="2" dataDxfId="11"/>
    <tableColumn id="3" xr3:uid="{EBA574D7-2AC1-4990-A7CD-999067A17275}" uniqueName="3" name="Apellido" queryTableFieldId="3" dataDxfId="10"/>
    <tableColumn id="4" xr3:uid="{4FAFAAE7-3040-49A2-8318-E5175E4E524F}" uniqueName="4" name="Email" queryTableFieldId="4" dataDxfId="9"/>
    <tableColumn id="5" xr3:uid="{D589FA8C-6E71-4B9E-B3EF-D06344416FD7}" uniqueName="5" name="Fecha_Registro" queryTableFieldId="5" dataDxfId="8"/>
    <tableColumn id="6" xr3:uid="{2F5B6709-9BA9-45FF-8175-27AB91A89BDC}" uniqueName="6" name="Región" queryTableFieldId="6" dataDxfId="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B487A6-315E-4EB6-B50D-56FE41BCD01B}" name="categorias" displayName="categorias" ref="A1:C9" tableType="queryTable" totalsRowShown="0">
  <autoFilter ref="A1:C9" xr:uid="{CDB487A6-315E-4EB6-B50D-56FE41BCD01B}"/>
  <tableColumns count="3">
    <tableColumn id="1" xr3:uid="{7A023AFD-43E3-4E43-86C2-5E0B76E852F9}" uniqueName="1" name="ID_Categoria" queryTableFieldId="1"/>
    <tableColumn id="2" xr3:uid="{E08ED045-A2FE-4689-A9DA-0B4AB8A1C8EF}" uniqueName="2" name="Categoría" queryTableFieldId="2" dataDxfId="6"/>
    <tableColumn id="3" xr3:uid="{01B71B94-1973-40E4-B730-E029DCB52053}" uniqueName="3" name="Descripció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3527A7-8DDD-41A6-B93E-D676B1F3FF8F}" name="metodos_pago" displayName="metodos_pago" ref="A1:C6" tableType="queryTable" totalsRowShown="0">
  <autoFilter ref="A1:C6" xr:uid="{343527A7-8DDD-41A6-B93E-D676B1F3FF8F}"/>
  <tableColumns count="3">
    <tableColumn id="1" xr3:uid="{9E5A0293-3913-4504-8A9C-513B241F2DB9}" uniqueName="1" name="ID_Metodo" queryTableFieldId="1"/>
    <tableColumn id="2" xr3:uid="{3200582F-5CAF-41CD-8681-D48448AE73B4}" uniqueName="2" name="Método" queryTableFieldId="2" dataDxfId="4"/>
    <tableColumn id="3" xr3:uid="{151ADFC4-C7AD-40B8-B3F5-2D159DF9DDC0}" uniqueName="3" name="Descripción" queryTableFieldId="3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CB3254-194C-4E29-BCEA-24E329809E43}" name="ventas" displayName="ventas" ref="A1:I3001" tableType="queryTable" totalsRowShown="0">
  <autoFilter ref="A1:I3001" xr:uid="{92CB3254-194C-4E29-BCEA-24E329809E43}"/>
  <tableColumns count="9">
    <tableColumn id="1" xr3:uid="{FCDBA799-8D11-47C7-83DF-73EFBCFF8C9B}" uniqueName="1" name="ID_Venta" queryTableFieldId="1"/>
    <tableColumn id="2" xr3:uid="{1718343E-92D5-46B2-AFF9-B832D75763A4}" uniqueName="2" name="Fecha" queryTableFieldId="2" dataDxfId="1"/>
    <tableColumn id="3" xr3:uid="{57C412E4-08C2-4FFB-9545-088C7F068CDB}" uniqueName="3" name="ID_Cliente" queryTableFieldId="3"/>
    <tableColumn id="4" xr3:uid="{06CE2669-13EC-40F6-81AB-426AD1B2A966}" uniqueName="4" name="ID_Producto" queryTableFieldId="4"/>
    <tableColumn id="5" xr3:uid="{1FCC75B0-D2E1-43B3-A61B-4945808DE1B9}" uniqueName="5" name="Cantidad" queryTableFieldId="5"/>
    <tableColumn id="6" xr3:uid="{A3D35EEC-FFC3-4BE1-B218-A1E381EA4CA0}" uniqueName="6" name="Método_Pago" queryTableFieldId="6"/>
    <tableColumn id="7" xr3:uid="{B18B5CBD-F738-4924-8460-D33455FD1DF6}" uniqueName="7" name="Estado" queryTableFieldId="7" dataDxfId="2"/>
    <tableColumn id="8" xr3:uid="{9161D6CB-4BBB-4381-89C7-F94118EF66A9}" uniqueName="8" name="Precio_Unitario" queryTableFieldId="8">
      <calculatedColumnFormula>_xlfn.XLOOKUP(D2, productos!$A$2:$A$150, productos!$D$2:$D$150, "No Encontrado", 0)</calculatedColumnFormula>
    </tableColumn>
    <tableColumn id="9" xr3:uid="{FF89922A-4D9B-4EDD-ADC0-A6834094ED31}" uniqueName="9" name="Total" queryTableFieldId="9">
      <calculatedColumnFormula>E2*H2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A359667-897F-42E5-A73E-B4DD7AE7FDCC}" name="productos" displayName="productos" ref="A1:E39" tableType="queryTable" totalsRowShown="0">
  <autoFilter ref="A1:E39" xr:uid="{BA359667-897F-42E5-A73E-B4DD7AE7FDCC}"/>
  <tableColumns count="5">
    <tableColumn id="1" xr3:uid="{EDFE40CD-EA79-4328-A994-C83E5B334931}" uniqueName="1" name="ID_Producto" queryTableFieldId="1" dataDxfId="0"/>
    <tableColumn id="2" xr3:uid="{07E97737-F623-463B-9F7A-117B0C6AA630}" uniqueName="2" name="Nombre_producto" queryTableFieldId="2" dataDxfId="13"/>
    <tableColumn id="3" xr3:uid="{692A2D35-1249-4F1A-B1CF-53B920255B7B}" uniqueName="3" name="Categoría" queryTableFieldId="3" dataDxfId="12"/>
    <tableColumn id="4" xr3:uid="{AE6323A2-F171-4DE5-A117-2082CB439B19}" uniqueName="4" name="Precio_Unitario" queryTableFieldId="4"/>
    <tableColumn id="5" xr3:uid="{D43BB726-A69A-495B-8959-D97EB3410E02}" uniqueName="5" name="Stock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4DD93-6145-4343-84C4-BDF5C2F61A3E}">
  <dimension ref="A1:F327"/>
  <sheetViews>
    <sheetView workbookViewId="0">
      <selection activeCell="H315" sqref="H315"/>
    </sheetView>
  </sheetViews>
  <sheetFormatPr baseColWidth="10" defaultRowHeight="15" x14ac:dyDescent="0.25"/>
  <cols>
    <col min="1" max="1" width="12.85546875" bestFit="1" customWidth="1"/>
    <col min="2" max="2" width="11.7109375" bestFit="1" customWidth="1"/>
    <col min="3" max="3" width="18.140625" bestFit="1" customWidth="1"/>
    <col min="4" max="4" width="36.140625" bestFit="1" customWidth="1"/>
    <col min="5" max="5" width="17" bestFit="1" customWidth="1"/>
    <col min="6" max="6" width="12.42578125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246</v>
      </c>
      <c r="B2" t="s">
        <v>742</v>
      </c>
      <c r="C2" t="s">
        <v>743</v>
      </c>
      <c r="D2" t="s">
        <v>744</v>
      </c>
      <c r="E2" s="1">
        <v>45197</v>
      </c>
      <c r="F2" t="s">
        <v>94</v>
      </c>
    </row>
    <row r="3" spans="1:6" x14ac:dyDescent="0.25">
      <c r="A3">
        <v>255</v>
      </c>
      <c r="B3" t="s">
        <v>769</v>
      </c>
      <c r="C3" t="s">
        <v>770</v>
      </c>
      <c r="D3" t="s">
        <v>771</v>
      </c>
      <c r="E3" s="1">
        <v>45272</v>
      </c>
      <c r="F3" t="s">
        <v>19</v>
      </c>
    </row>
    <row r="4" spans="1:6" x14ac:dyDescent="0.25">
      <c r="A4">
        <v>306</v>
      </c>
      <c r="B4" t="s">
        <v>917</v>
      </c>
      <c r="C4" t="s">
        <v>918</v>
      </c>
      <c r="D4" t="s">
        <v>919</v>
      </c>
      <c r="E4" s="1">
        <v>45088</v>
      </c>
      <c r="F4" t="s">
        <v>30</v>
      </c>
    </row>
    <row r="5" spans="1:6" x14ac:dyDescent="0.25">
      <c r="A5">
        <v>202</v>
      </c>
      <c r="B5" t="s">
        <v>613</v>
      </c>
      <c r="C5" t="s">
        <v>614</v>
      </c>
      <c r="D5" t="s">
        <v>615</v>
      </c>
      <c r="E5" s="1">
        <v>45240</v>
      </c>
      <c r="F5" t="s">
        <v>94</v>
      </c>
    </row>
    <row r="6" spans="1:6" x14ac:dyDescent="0.25">
      <c r="A6">
        <v>104</v>
      </c>
      <c r="B6" t="s">
        <v>320</v>
      </c>
      <c r="C6" t="s">
        <v>321</v>
      </c>
      <c r="D6" t="s">
        <v>322</v>
      </c>
      <c r="E6" s="1">
        <v>45056</v>
      </c>
      <c r="F6" t="s">
        <v>19</v>
      </c>
    </row>
    <row r="7" spans="1:6" x14ac:dyDescent="0.25">
      <c r="A7">
        <v>198</v>
      </c>
      <c r="B7" t="s">
        <v>601</v>
      </c>
      <c r="C7" t="s">
        <v>602</v>
      </c>
      <c r="D7" t="s">
        <v>603</v>
      </c>
      <c r="E7" s="1">
        <v>45176</v>
      </c>
      <c r="F7" t="s">
        <v>116</v>
      </c>
    </row>
    <row r="8" spans="1:6" x14ac:dyDescent="0.25">
      <c r="A8">
        <v>122</v>
      </c>
      <c r="B8" t="s">
        <v>374</v>
      </c>
      <c r="C8" t="s">
        <v>375</v>
      </c>
      <c r="D8" t="s">
        <v>376</v>
      </c>
      <c r="E8" s="1">
        <v>45074</v>
      </c>
      <c r="F8" t="s">
        <v>23</v>
      </c>
    </row>
    <row r="9" spans="1:6" x14ac:dyDescent="0.25">
      <c r="A9">
        <v>154</v>
      </c>
      <c r="B9" t="s">
        <v>470</v>
      </c>
      <c r="C9" t="s">
        <v>471</v>
      </c>
      <c r="D9" t="s">
        <v>472</v>
      </c>
      <c r="E9" s="1">
        <v>45203</v>
      </c>
      <c r="F9" t="s">
        <v>9</v>
      </c>
    </row>
    <row r="10" spans="1:6" x14ac:dyDescent="0.25">
      <c r="A10">
        <v>56</v>
      </c>
      <c r="B10" t="s">
        <v>177</v>
      </c>
      <c r="C10" t="s">
        <v>178</v>
      </c>
      <c r="D10" t="s">
        <v>179</v>
      </c>
      <c r="E10" s="1">
        <v>45104</v>
      </c>
      <c r="F10" t="s">
        <v>23</v>
      </c>
    </row>
    <row r="11" spans="1:6" x14ac:dyDescent="0.25">
      <c r="A11">
        <v>279</v>
      </c>
      <c r="B11" t="s">
        <v>748</v>
      </c>
      <c r="C11" t="s">
        <v>838</v>
      </c>
      <c r="D11" t="s">
        <v>839</v>
      </c>
      <c r="E11" s="1">
        <v>45259</v>
      </c>
      <c r="F11" t="s">
        <v>23</v>
      </c>
    </row>
    <row r="12" spans="1:6" x14ac:dyDescent="0.25">
      <c r="A12">
        <v>42</v>
      </c>
      <c r="B12" t="s">
        <v>135</v>
      </c>
      <c r="C12" t="s">
        <v>136</v>
      </c>
      <c r="D12" t="s">
        <v>137</v>
      </c>
      <c r="E12" s="1">
        <v>45100</v>
      </c>
      <c r="F12" t="s">
        <v>9</v>
      </c>
    </row>
    <row r="13" spans="1:6" x14ac:dyDescent="0.25">
      <c r="A13">
        <v>290</v>
      </c>
      <c r="B13" t="s">
        <v>869</v>
      </c>
      <c r="C13" t="s">
        <v>870</v>
      </c>
      <c r="D13" t="s">
        <v>871</v>
      </c>
      <c r="E13" s="1">
        <v>45189</v>
      </c>
      <c r="F13" t="s">
        <v>19</v>
      </c>
    </row>
    <row r="14" spans="1:6" x14ac:dyDescent="0.25">
      <c r="A14">
        <v>309</v>
      </c>
      <c r="B14" t="s">
        <v>926</v>
      </c>
      <c r="C14" t="s">
        <v>927</v>
      </c>
      <c r="D14" t="s">
        <v>928</v>
      </c>
      <c r="E14" s="1">
        <v>45169</v>
      </c>
      <c r="F14" t="s">
        <v>23</v>
      </c>
    </row>
    <row r="15" spans="1:6" x14ac:dyDescent="0.25">
      <c r="A15">
        <v>81</v>
      </c>
      <c r="B15" t="s">
        <v>252</v>
      </c>
      <c r="C15" t="s">
        <v>253</v>
      </c>
      <c r="D15" t="s">
        <v>254</v>
      </c>
      <c r="E15" s="1">
        <v>45054</v>
      </c>
      <c r="F15" t="s">
        <v>19</v>
      </c>
    </row>
    <row r="16" spans="1:6" x14ac:dyDescent="0.25">
      <c r="A16">
        <v>57</v>
      </c>
      <c r="B16" t="s">
        <v>180</v>
      </c>
      <c r="C16" t="s">
        <v>181</v>
      </c>
      <c r="D16" t="s">
        <v>182</v>
      </c>
      <c r="E16" s="1">
        <v>45275</v>
      </c>
      <c r="F16" t="s">
        <v>23</v>
      </c>
    </row>
    <row r="17" spans="1:6" x14ac:dyDescent="0.25">
      <c r="A17">
        <v>48</v>
      </c>
      <c r="B17" t="s">
        <v>153</v>
      </c>
      <c r="C17" t="s">
        <v>154</v>
      </c>
      <c r="D17" t="s">
        <v>155</v>
      </c>
      <c r="E17" s="1">
        <v>45217</v>
      </c>
      <c r="F17" t="s">
        <v>9</v>
      </c>
    </row>
    <row r="18" spans="1:6" x14ac:dyDescent="0.25">
      <c r="A18">
        <v>86</v>
      </c>
      <c r="B18" t="s">
        <v>267</v>
      </c>
      <c r="C18" t="s">
        <v>268</v>
      </c>
      <c r="D18" t="s">
        <v>269</v>
      </c>
      <c r="E18" s="1">
        <v>45020</v>
      </c>
      <c r="F18" t="s">
        <v>9</v>
      </c>
    </row>
    <row r="19" spans="1:6" x14ac:dyDescent="0.25">
      <c r="A19">
        <v>12</v>
      </c>
      <c r="B19" t="s">
        <v>43</v>
      </c>
      <c r="C19" t="s">
        <v>44</v>
      </c>
      <c r="D19" t="s">
        <v>45</v>
      </c>
      <c r="E19" s="1">
        <v>45159</v>
      </c>
      <c r="F19" t="s">
        <v>9</v>
      </c>
    </row>
    <row r="20" spans="1:6" x14ac:dyDescent="0.25">
      <c r="A20">
        <v>172</v>
      </c>
      <c r="B20" t="s">
        <v>524</v>
      </c>
      <c r="C20" t="s">
        <v>525</v>
      </c>
      <c r="D20" t="s">
        <v>526</v>
      </c>
      <c r="E20" s="1">
        <v>45004</v>
      </c>
      <c r="F20" t="s">
        <v>19</v>
      </c>
    </row>
    <row r="21" spans="1:6" x14ac:dyDescent="0.25">
      <c r="A21">
        <v>259</v>
      </c>
      <c r="B21" t="s">
        <v>781</v>
      </c>
      <c r="C21" t="s">
        <v>782</v>
      </c>
      <c r="D21" t="s">
        <v>783</v>
      </c>
      <c r="E21" s="1">
        <v>45214</v>
      </c>
      <c r="F21" t="s">
        <v>30</v>
      </c>
    </row>
    <row r="22" spans="1:6" x14ac:dyDescent="0.25">
      <c r="A22">
        <v>158</v>
      </c>
      <c r="B22" t="s">
        <v>482</v>
      </c>
      <c r="C22" t="s">
        <v>483</v>
      </c>
      <c r="D22" t="s">
        <v>484</v>
      </c>
      <c r="E22" s="1">
        <v>45048</v>
      </c>
      <c r="F22" t="s">
        <v>19</v>
      </c>
    </row>
    <row r="23" spans="1:6" x14ac:dyDescent="0.25">
      <c r="A23">
        <v>205</v>
      </c>
      <c r="B23" t="s">
        <v>138</v>
      </c>
      <c r="C23" t="s">
        <v>622</v>
      </c>
      <c r="D23" t="s">
        <v>623</v>
      </c>
      <c r="E23" s="1">
        <v>45045</v>
      </c>
      <c r="F23" t="s">
        <v>9</v>
      </c>
    </row>
    <row r="24" spans="1:6" x14ac:dyDescent="0.25">
      <c r="A24">
        <v>265</v>
      </c>
      <c r="B24" t="s">
        <v>799</v>
      </c>
      <c r="C24" t="s">
        <v>800</v>
      </c>
      <c r="D24" t="s">
        <v>801</v>
      </c>
      <c r="E24" s="1">
        <v>45089</v>
      </c>
      <c r="F24" t="s">
        <v>23</v>
      </c>
    </row>
    <row r="25" spans="1:6" x14ac:dyDescent="0.25">
      <c r="A25">
        <v>311</v>
      </c>
      <c r="B25" t="s">
        <v>932</v>
      </c>
      <c r="C25" t="s">
        <v>933</v>
      </c>
      <c r="D25" t="s">
        <v>934</v>
      </c>
      <c r="E25" s="1">
        <v>45286</v>
      </c>
      <c r="F25" t="s">
        <v>19</v>
      </c>
    </row>
    <row r="26" spans="1:6" x14ac:dyDescent="0.25">
      <c r="A26">
        <v>18</v>
      </c>
      <c r="B26" t="s">
        <v>61</v>
      </c>
      <c r="C26" t="s">
        <v>62</v>
      </c>
      <c r="D26" t="s">
        <v>63</v>
      </c>
      <c r="E26" s="1">
        <v>45283</v>
      </c>
      <c r="F26" t="s">
        <v>23</v>
      </c>
    </row>
    <row r="27" spans="1:6" x14ac:dyDescent="0.25">
      <c r="A27">
        <v>262</v>
      </c>
      <c r="B27" t="s">
        <v>790</v>
      </c>
      <c r="C27" t="s">
        <v>791</v>
      </c>
      <c r="D27" t="s">
        <v>792</v>
      </c>
      <c r="E27" s="1">
        <v>45037</v>
      </c>
      <c r="F27" t="s">
        <v>19</v>
      </c>
    </row>
    <row r="28" spans="1:6" x14ac:dyDescent="0.25">
      <c r="A28">
        <v>215</v>
      </c>
      <c r="B28" t="s">
        <v>651</v>
      </c>
      <c r="C28" t="s">
        <v>652</v>
      </c>
      <c r="D28" t="s">
        <v>653</v>
      </c>
      <c r="E28" s="1">
        <v>45148</v>
      </c>
      <c r="F28" t="s">
        <v>94</v>
      </c>
    </row>
    <row r="29" spans="1:6" x14ac:dyDescent="0.25">
      <c r="A29">
        <v>301</v>
      </c>
      <c r="B29" t="s">
        <v>902</v>
      </c>
      <c r="C29" t="s">
        <v>903</v>
      </c>
      <c r="D29" t="s">
        <v>904</v>
      </c>
      <c r="E29" s="1">
        <v>45230</v>
      </c>
      <c r="F29" t="s">
        <v>30</v>
      </c>
    </row>
    <row r="30" spans="1:6" x14ac:dyDescent="0.25">
      <c r="A30">
        <v>206</v>
      </c>
      <c r="B30" t="s">
        <v>624</v>
      </c>
      <c r="C30" t="s">
        <v>625</v>
      </c>
      <c r="D30" t="s">
        <v>626</v>
      </c>
      <c r="E30" s="1">
        <v>45056</v>
      </c>
      <c r="F30" t="s">
        <v>94</v>
      </c>
    </row>
    <row r="31" spans="1:6" x14ac:dyDescent="0.25">
      <c r="A31">
        <v>299</v>
      </c>
      <c r="B31" t="s">
        <v>896</v>
      </c>
      <c r="C31" t="s">
        <v>897</v>
      </c>
      <c r="D31" t="s">
        <v>898</v>
      </c>
      <c r="E31" s="1">
        <v>45230</v>
      </c>
      <c r="F31" t="s">
        <v>30</v>
      </c>
    </row>
    <row r="32" spans="1:6" x14ac:dyDescent="0.25">
      <c r="A32">
        <v>123</v>
      </c>
      <c r="B32" t="s">
        <v>377</v>
      </c>
      <c r="C32" t="s">
        <v>378</v>
      </c>
      <c r="D32" t="s">
        <v>379</v>
      </c>
      <c r="E32" s="1">
        <v>45223</v>
      </c>
      <c r="F32" t="s">
        <v>9</v>
      </c>
    </row>
    <row r="33" spans="1:6" x14ac:dyDescent="0.25">
      <c r="A33">
        <v>174</v>
      </c>
      <c r="B33" t="s">
        <v>530</v>
      </c>
      <c r="C33" t="s">
        <v>531</v>
      </c>
      <c r="D33" t="s">
        <v>532</v>
      </c>
      <c r="E33" s="1">
        <v>45169</v>
      </c>
      <c r="F33" t="s">
        <v>9</v>
      </c>
    </row>
    <row r="34" spans="1:6" x14ac:dyDescent="0.25">
      <c r="A34">
        <v>183</v>
      </c>
      <c r="B34" t="s">
        <v>557</v>
      </c>
      <c r="C34" t="s">
        <v>558</v>
      </c>
      <c r="D34" t="s">
        <v>559</v>
      </c>
      <c r="E34" s="1">
        <v>45071</v>
      </c>
      <c r="F34" t="s">
        <v>9</v>
      </c>
    </row>
    <row r="35" spans="1:6" x14ac:dyDescent="0.25">
      <c r="A35">
        <v>33</v>
      </c>
      <c r="B35" t="s">
        <v>107</v>
      </c>
      <c r="C35" t="s">
        <v>108</v>
      </c>
      <c r="D35" t="s">
        <v>109</v>
      </c>
      <c r="E35" s="1">
        <v>45148</v>
      </c>
      <c r="F35" t="s">
        <v>94</v>
      </c>
    </row>
    <row r="36" spans="1:6" x14ac:dyDescent="0.25">
      <c r="A36">
        <v>90</v>
      </c>
      <c r="B36" t="s">
        <v>279</v>
      </c>
      <c r="C36" t="s">
        <v>280</v>
      </c>
      <c r="D36" t="s">
        <v>281</v>
      </c>
      <c r="E36" s="1">
        <v>45147</v>
      </c>
      <c r="F36" t="s">
        <v>19</v>
      </c>
    </row>
    <row r="37" spans="1:6" x14ac:dyDescent="0.25">
      <c r="A37">
        <v>46</v>
      </c>
      <c r="B37" t="s">
        <v>147</v>
      </c>
      <c r="C37" t="s">
        <v>148</v>
      </c>
      <c r="D37" t="s">
        <v>149</v>
      </c>
      <c r="E37" s="1">
        <v>45148</v>
      </c>
      <c r="F37" t="s">
        <v>23</v>
      </c>
    </row>
    <row r="38" spans="1:6" x14ac:dyDescent="0.25">
      <c r="A38">
        <v>80</v>
      </c>
      <c r="B38" t="s">
        <v>249</v>
      </c>
      <c r="C38" t="s">
        <v>250</v>
      </c>
      <c r="D38" t="s">
        <v>251</v>
      </c>
      <c r="E38" s="1">
        <v>45279</v>
      </c>
      <c r="F38" t="s">
        <v>94</v>
      </c>
    </row>
    <row r="39" spans="1:6" x14ac:dyDescent="0.25">
      <c r="A39">
        <v>324</v>
      </c>
      <c r="B39" t="s">
        <v>969</v>
      </c>
      <c r="C39" t="s">
        <v>970</v>
      </c>
      <c r="D39" t="s">
        <v>971</v>
      </c>
      <c r="E39" s="1">
        <v>45170</v>
      </c>
      <c r="F39" t="s">
        <v>94</v>
      </c>
    </row>
    <row r="40" spans="1:6" x14ac:dyDescent="0.25">
      <c r="A40">
        <v>74</v>
      </c>
      <c r="B40" t="s">
        <v>231</v>
      </c>
      <c r="C40" t="s">
        <v>232</v>
      </c>
      <c r="D40" t="s">
        <v>233</v>
      </c>
      <c r="E40" s="1">
        <v>45051</v>
      </c>
      <c r="F40" t="s">
        <v>9</v>
      </c>
    </row>
    <row r="41" spans="1:6" x14ac:dyDescent="0.25">
      <c r="A41">
        <v>258</v>
      </c>
      <c r="B41" t="s">
        <v>778</v>
      </c>
      <c r="C41" t="s">
        <v>779</v>
      </c>
      <c r="D41" t="s">
        <v>780</v>
      </c>
      <c r="E41" s="1">
        <v>45074</v>
      </c>
      <c r="F41" t="s">
        <v>23</v>
      </c>
    </row>
    <row r="42" spans="1:6" x14ac:dyDescent="0.25">
      <c r="A42">
        <v>189</v>
      </c>
      <c r="B42" t="s">
        <v>574</v>
      </c>
      <c r="C42" t="s">
        <v>575</v>
      </c>
      <c r="D42" t="s">
        <v>576</v>
      </c>
      <c r="E42" s="1">
        <v>45125</v>
      </c>
      <c r="F42" t="s">
        <v>9</v>
      </c>
    </row>
    <row r="43" spans="1:6" x14ac:dyDescent="0.25">
      <c r="A43">
        <v>232</v>
      </c>
      <c r="B43" t="s">
        <v>701</v>
      </c>
      <c r="C43" t="s">
        <v>702</v>
      </c>
      <c r="D43" t="s">
        <v>703</v>
      </c>
      <c r="E43" s="1">
        <v>45097</v>
      </c>
      <c r="F43" t="s">
        <v>19</v>
      </c>
    </row>
    <row r="44" spans="1:6" x14ac:dyDescent="0.25">
      <c r="A44">
        <v>26</v>
      </c>
      <c r="B44" t="s">
        <v>85</v>
      </c>
      <c r="C44" t="s">
        <v>86</v>
      </c>
      <c r="D44" t="s">
        <v>87</v>
      </c>
      <c r="E44" s="1">
        <v>45112</v>
      </c>
      <c r="F44" t="s">
        <v>23</v>
      </c>
    </row>
    <row r="45" spans="1:6" x14ac:dyDescent="0.25">
      <c r="A45">
        <v>210</v>
      </c>
      <c r="B45" t="s">
        <v>636</v>
      </c>
      <c r="C45" t="s">
        <v>637</v>
      </c>
      <c r="D45" t="s">
        <v>638</v>
      </c>
      <c r="E45" s="1">
        <v>45276</v>
      </c>
      <c r="F45" t="s">
        <v>23</v>
      </c>
    </row>
    <row r="46" spans="1:6" x14ac:dyDescent="0.25">
      <c r="A46">
        <v>163</v>
      </c>
      <c r="B46" t="s">
        <v>497</v>
      </c>
      <c r="C46" t="s">
        <v>498</v>
      </c>
      <c r="D46" t="s">
        <v>499</v>
      </c>
      <c r="E46" s="1">
        <v>45108</v>
      </c>
      <c r="F46" t="s">
        <v>19</v>
      </c>
    </row>
    <row r="47" spans="1:6" x14ac:dyDescent="0.25">
      <c r="A47">
        <v>141</v>
      </c>
      <c r="B47" t="s">
        <v>431</v>
      </c>
      <c r="C47" t="s">
        <v>432</v>
      </c>
      <c r="D47" t="s">
        <v>433</v>
      </c>
      <c r="E47" s="1">
        <v>45007</v>
      </c>
      <c r="F47" t="s">
        <v>94</v>
      </c>
    </row>
    <row r="48" spans="1:6" x14ac:dyDescent="0.25">
      <c r="A48">
        <v>153</v>
      </c>
      <c r="B48" t="s">
        <v>467</v>
      </c>
      <c r="C48" t="s">
        <v>468</v>
      </c>
      <c r="D48" t="s">
        <v>469</v>
      </c>
      <c r="E48" s="1">
        <v>45198</v>
      </c>
      <c r="F48" t="s">
        <v>30</v>
      </c>
    </row>
    <row r="49" spans="1:6" x14ac:dyDescent="0.25">
      <c r="A49">
        <v>240</v>
      </c>
      <c r="B49" t="s">
        <v>725</v>
      </c>
      <c r="C49" t="s">
        <v>726</v>
      </c>
      <c r="D49" t="s">
        <v>727</v>
      </c>
      <c r="E49" s="1">
        <v>45234</v>
      </c>
      <c r="F49" t="s">
        <v>19</v>
      </c>
    </row>
    <row r="50" spans="1:6" x14ac:dyDescent="0.25">
      <c r="A50">
        <v>222</v>
      </c>
      <c r="B50" t="s">
        <v>672</v>
      </c>
      <c r="C50" t="s">
        <v>673</v>
      </c>
      <c r="D50" t="s">
        <v>674</v>
      </c>
      <c r="E50" s="1">
        <v>45178</v>
      </c>
      <c r="F50" t="s">
        <v>23</v>
      </c>
    </row>
    <row r="51" spans="1:6" x14ac:dyDescent="0.25">
      <c r="A51">
        <v>3</v>
      </c>
      <c r="B51" t="s">
        <v>13</v>
      </c>
      <c r="C51" t="s">
        <v>14</v>
      </c>
      <c r="D51" t="s">
        <v>15</v>
      </c>
      <c r="E51" s="1">
        <v>45012</v>
      </c>
      <c r="F51" t="s">
        <v>9</v>
      </c>
    </row>
    <row r="52" spans="1:6" x14ac:dyDescent="0.25">
      <c r="A52">
        <v>166</v>
      </c>
      <c r="B52" t="s">
        <v>506</v>
      </c>
      <c r="C52" t="s">
        <v>507</v>
      </c>
      <c r="D52" t="s">
        <v>508</v>
      </c>
      <c r="E52" s="1">
        <v>45165</v>
      </c>
      <c r="F52" t="s">
        <v>94</v>
      </c>
    </row>
    <row r="53" spans="1:6" x14ac:dyDescent="0.25">
      <c r="A53">
        <v>243</v>
      </c>
      <c r="B53" t="s">
        <v>733</v>
      </c>
      <c r="C53" t="s">
        <v>734</v>
      </c>
      <c r="D53" t="s">
        <v>735</v>
      </c>
      <c r="E53" s="1">
        <v>45061</v>
      </c>
      <c r="F53" t="s">
        <v>19</v>
      </c>
    </row>
    <row r="54" spans="1:6" x14ac:dyDescent="0.25">
      <c r="A54">
        <v>308</v>
      </c>
      <c r="B54" t="s">
        <v>923</v>
      </c>
      <c r="C54" t="s">
        <v>924</v>
      </c>
      <c r="D54" t="s">
        <v>925</v>
      </c>
      <c r="E54" s="1">
        <v>45236</v>
      </c>
      <c r="F54" t="s">
        <v>23</v>
      </c>
    </row>
    <row r="55" spans="1:6" x14ac:dyDescent="0.25">
      <c r="A55">
        <v>181</v>
      </c>
      <c r="B55" t="s">
        <v>551</v>
      </c>
      <c r="C55" t="s">
        <v>552</v>
      </c>
      <c r="D55" t="s">
        <v>553</v>
      </c>
      <c r="E55" s="1">
        <v>45154</v>
      </c>
      <c r="F55" t="s">
        <v>9</v>
      </c>
    </row>
    <row r="56" spans="1:6" x14ac:dyDescent="0.25">
      <c r="A56">
        <v>10</v>
      </c>
      <c r="B56" t="s">
        <v>37</v>
      </c>
      <c r="C56" t="s">
        <v>38</v>
      </c>
      <c r="D56" t="s">
        <v>39</v>
      </c>
      <c r="E56" s="1">
        <v>45253</v>
      </c>
      <c r="F56" t="s">
        <v>19</v>
      </c>
    </row>
    <row r="57" spans="1:6" x14ac:dyDescent="0.25">
      <c r="A57">
        <v>20</v>
      </c>
      <c r="B57" t="s">
        <v>67</v>
      </c>
      <c r="C57" t="s">
        <v>68</v>
      </c>
      <c r="D57" t="s">
        <v>69</v>
      </c>
      <c r="E57" s="1">
        <v>45129</v>
      </c>
      <c r="F57" t="s">
        <v>30</v>
      </c>
    </row>
    <row r="58" spans="1:6" x14ac:dyDescent="0.25">
      <c r="A58">
        <v>2</v>
      </c>
      <c r="B58" t="s">
        <v>10</v>
      </c>
      <c r="C58" t="s">
        <v>11</v>
      </c>
      <c r="D58" t="s">
        <v>12</v>
      </c>
      <c r="E58" s="1">
        <v>45053</v>
      </c>
      <c r="F58" t="s">
        <v>9</v>
      </c>
    </row>
    <row r="59" spans="1:6" x14ac:dyDescent="0.25">
      <c r="A59">
        <v>161</v>
      </c>
      <c r="B59" t="s">
        <v>491</v>
      </c>
      <c r="C59" t="s">
        <v>492</v>
      </c>
      <c r="D59" t="s">
        <v>493</v>
      </c>
      <c r="E59" s="1">
        <v>45240</v>
      </c>
      <c r="F59" t="s">
        <v>9</v>
      </c>
    </row>
    <row r="60" spans="1:6" x14ac:dyDescent="0.25">
      <c r="A60">
        <v>323</v>
      </c>
      <c r="B60" t="s">
        <v>966</v>
      </c>
      <c r="C60" t="s">
        <v>967</v>
      </c>
      <c r="D60" t="s">
        <v>968</v>
      </c>
      <c r="E60" s="1">
        <v>45251</v>
      </c>
      <c r="F60" t="s">
        <v>23</v>
      </c>
    </row>
    <row r="61" spans="1:6" x14ac:dyDescent="0.25">
      <c r="A61">
        <v>253</v>
      </c>
      <c r="B61" t="s">
        <v>763</v>
      </c>
      <c r="C61" t="s">
        <v>764</v>
      </c>
      <c r="D61" t="s">
        <v>765</v>
      </c>
      <c r="E61" s="1">
        <v>45047</v>
      </c>
      <c r="F61" t="s">
        <v>19</v>
      </c>
    </row>
    <row r="62" spans="1:6" x14ac:dyDescent="0.25">
      <c r="A62">
        <v>250</v>
      </c>
      <c r="B62" t="s">
        <v>754</v>
      </c>
      <c r="C62" t="s">
        <v>755</v>
      </c>
      <c r="D62" t="s">
        <v>756</v>
      </c>
      <c r="E62" s="1">
        <v>45160</v>
      </c>
      <c r="F62" t="s">
        <v>23</v>
      </c>
    </row>
    <row r="63" spans="1:6" x14ac:dyDescent="0.25">
      <c r="A63">
        <v>142</v>
      </c>
      <c r="B63" t="s">
        <v>434</v>
      </c>
      <c r="C63" t="s">
        <v>435</v>
      </c>
      <c r="D63" t="s">
        <v>436</v>
      </c>
      <c r="E63" s="1">
        <v>45054</v>
      </c>
      <c r="F63" t="s">
        <v>30</v>
      </c>
    </row>
    <row r="64" spans="1:6" x14ac:dyDescent="0.25">
      <c r="A64">
        <v>133</v>
      </c>
      <c r="B64" t="s">
        <v>407</v>
      </c>
      <c r="C64" t="s">
        <v>408</v>
      </c>
      <c r="D64" t="s">
        <v>409</v>
      </c>
      <c r="E64" s="1">
        <v>45123</v>
      </c>
      <c r="F64" t="s">
        <v>19</v>
      </c>
    </row>
    <row r="65" spans="1:6" x14ac:dyDescent="0.25">
      <c r="A65">
        <v>117</v>
      </c>
      <c r="B65" t="s">
        <v>359</v>
      </c>
      <c r="C65" t="s">
        <v>360</v>
      </c>
      <c r="D65" t="s">
        <v>361</v>
      </c>
      <c r="E65" s="1">
        <v>45222</v>
      </c>
      <c r="F65" t="s">
        <v>116</v>
      </c>
    </row>
    <row r="66" spans="1:6" x14ac:dyDescent="0.25">
      <c r="A66">
        <v>45</v>
      </c>
      <c r="B66" t="s">
        <v>144</v>
      </c>
      <c r="C66" t="s">
        <v>145</v>
      </c>
      <c r="D66" t="s">
        <v>146</v>
      </c>
      <c r="E66" s="1">
        <v>45154</v>
      </c>
      <c r="F66" t="s">
        <v>19</v>
      </c>
    </row>
    <row r="67" spans="1:6" x14ac:dyDescent="0.25">
      <c r="A67">
        <v>31</v>
      </c>
      <c r="B67" t="s">
        <v>101</v>
      </c>
      <c r="C67" t="s">
        <v>102</v>
      </c>
      <c r="D67" t="s">
        <v>103</v>
      </c>
      <c r="E67" s="1">
        <v>45013</v>
      </c>
      <c r="F67" t="s">
        <v>23</v>
      </c>
    </row>
    <row r="68" spans="1:6" x14ac:dyDescent="0.25">
      <c r="A68">
        <v>245</v>
      </c>
      <c r="B68" t="s">
        <v>739</v>
      </c>
      <c r="C68" t="s">
        <v>740</v>
      </c>
      <c r="D68" t="s">
        <v>741</v>
      </c>
      <c r="E68" s="1">
        <v>45111</v>
      </c>
      <c r="F68" t="s">
        <v>94</v>
      </c>
    </row>
    <row r="69" spans="1:6" x14ac:dyDescent="0.25">
      <c r="A69">
        <v>23</v>
      </c>
      <c r="B69" t="s">
        <v>76</v>
      </c>
      <c r="C69" t="s">
        <v>77</v>
      </c>
      <c r="D69" t="s">
        <v>78</v>
      </c>
      <c r="E69" s="1">
        <v>45050</v>
      </c>
      <c r="F69" t="s">
        <v>9</v>
      </c>
    </row>
    <row r="70" spans="1:6" x14ac:dyDescent="0.25">
      <c r="A70">
        <v>44</v>
      </c>
      <c r="B70" t="s">
        <v>141</v>
      </c>
      <c r="C70" t="s">
        <v>142</v>
      </c>
      <c r="D70" t="s">
        <v>143</v>
      </c>
      <c r="E70" s="1">
        <v>45186</v>
      </c>
      <c r="F70" t="s">
        <v>19</v>
      </c>
    </row>
    <row r="71" spans="1:6" x14ac:dyDescent="0.25">
      <c r="A71">
        <v>51</v>
      </c>
      <c r="B71" t="s">
        <v>162</v>
      </c>
      <c r="C71" t="s">
        <v>163</v>
      </c>
      <c r="D71" t="s">
        <v>164</v>
      </c>
      <c r="E71" s="1">
        <v>45229</v>
      </c>
      <c r="F71" t="s">
        <v>30</v>
      </c>
    </row>
    <row r="72" spans="1:6" x14ac:dyDescent="0.25">
      <c r="A72">
        <v>156</v>
      </c>
      <c r="B72" t="s">
        <v>476</v>
      </c>
      <c r="C72" t="s">
        <v>477</v>
      </c>
      <c r="D72" t="s">
        <v>478</v>
      </c>
      <c r="E72" s="1">
        <v>45225</v>
      </c>
      <c r="F72" t="s">
        <v>9</v>
      </c>
    </row>
    <row r="73" spans="1:6" x14ac:dyDescent="0.25">
      <c r="A73">
        <v>35</v>
      </c>
      <c r="B73" t="s">
        <v>113</v>
      </c>
      <c r="C73" t="s">
        <v>114</v>
      </c>
      <c r="D73" t="s">
        <v>115</v>
      </c>
      <c r="E73" s="1">
        <v>45039</v>
      </c>
      <c r="F73" t="s">
        <v>116</v>
      </c>
    </row>
    <row r="74" spans="1:6" x14ac:dyDescent="0.25">
      <c r="A74">
        <v>114</v>
      </c>
      <c r="B74" t="s">
        <v>350</v>
      </c>
      <c r="C74" t="s">
        <v>351</v>
      </c>
      <c r="D74" t="s">
        <v>352</v>
      </c>
      <c r="E74" s="1">
        <v>45027</v>
      </c>
      <c r="F74" t="s">
        <v>23</v>
      </c>
    </row>
    <row r="75" spans="1:6" x14ac:dyDescent="0.25">
      <c r="A75">
        <v>120</v>
      </c>
      <c r="B75" t="s">
        <v>368</v>
      </c>
      <c r="C75" t="s">
        <v>369</v>
      </c>
      <c r="D75" t="s">
        <v>370</v>
      </c>
      <c r="E75" s="1">
        <v>45184</v>
      </c>
      <c r="F75" t="s">
        <v>19</v>
      </c>
    </row>
    <row r="76" spans="1:6" x14ac:dyDescent="0.25">
      <c r="A76">
        <v>325</v>
      </c>
      <c r="B76" t="s">
        <v>972</v>
      </c>
      <c r="C76" t="s">
        <v>973</v>
      </c>
      <c r="D76" t="s">
        <v>974</v>
      </c>
      <c r="E76" s="1">
        <v>45093</v>
      </c>
      <c r="F76" t="s">
        <v>94</v>
      </c>
    </row>
    <row r="77" spans="1:6" x14ac:dyDescent="0.25">
      <c r="A77">
        <v>150</v>
      </c>
      <c r="B77" t="s">
        <v>458</v>
      </c>
      <c r="C77" t="s">
        <v>459</v>
      </c>
      <c r="D77" t="s">
        <v>460</v>
      </c>
      <c r="E77" s="1">
        <v>45080</v>
      </c>
      <c r="F77" t="s">
        <v>19</v>
      </c>
    </row>
    <row r="78" spans="1:6" x14ac:dyDescent="0.25">
      <c r="A78">
        <v>119</v>
      </c>
      <c r="B78" t="s">
        <v>365</v>
      </c>
      <c r="C78" t="s">
        <v>366</v>
      </c>
      <c r="D78" t="s">
        <v>367</v>
      </c>
      <c r="E78" s="1">
        <v>45254</v>
      </c>
      <c r="F78" t="s">
        <v>9</v>
      </c>
    </row>
    <row r="79" spans="1:6" x14ac:dyDescent="0.25">
      <c r="A79">
        <v>69</v>
      </c>
      <c r="B79" t="s">
        <v>216</v>
      </c>
      <c r="C79" t="s">
        <v>217</v>
      </c>
      <c r="D79" t="s">
        <v>218</v>
      </c>
      <c r="E79" s="1">
        <v>45065</v>
      </c>
      <c r="F79" t="s">
        <v>30</v>
      </c>
    </row>
    <row r="80" spans="1:6" x14ac:dyDescent="0.25">
      <c r="A80">
        <v>143</v>
      </c>
      <c r="B80" t="s">
        <v>437</v>
      </c>
      <c r="C80" t="s">
        <v>438</v>
      </c>
      <c r="D80" t="s">
        <v>439</v>
      </c>
      <c r="E80" s="1">
        <v>45244</v>
      </c>
      <c r="F80" t="s">
        <v>19</v>
      </c>
    </row>
    <row r="81" spans="1:6" x14ac:dyDescent="0.25">
      <c r="A81">
        <v>173</v>
      </c>
      <c r="B81" t="s">
        <v>527</v>
      </c>
      <c r="C81" t="s">
        <v>528</v>
      </c>
      <c r="D81" t="s">
        <v>529</v>
      </c>
      <c r="E81" s="1">
        <v>45053</v>
      </c>
      <c r="F81" t="s">
        <v>9</v>
      </c>
    </row>
    <row r="82" spans="1:6" x14ac:dyDescent="0.25">
      <c r="A82">
        <v>175</v>
      </c>
      <c r="B82" t="s">
        <v>533</v>
      </c>
      <c r="C82" t="s">
        <v>534</v>
      </c>
      <c r="D82" t="s">
        <v>535</v>
      </c>
      <c r="E82" s="1">
        <v>45183</v>
      </c>
      <c r="F82" t="s">
        <v>19</v>
      </c>
    </row>
    <row r="83" spans="1:6" x14ac:dyDescent="0.25">
      <c r="A83">
        <v>102</v>
      </c>
      <c r="B83" t="s">
        <v>314</v>
      </c>
      <c r="C83" t="s">
        <v>315</v>
      </c>
      <c r="D83" t="s">
        <v>316</v>
      </c>
      <c r="E83" s="1">
        <v>45060</v>
      </c>
      <c r="F83" t="s">
        <v>9</v>
      </c>
    </row>
    <row r="84" spans="1:6" x14ac:dyDescent="0.25">
      <c r="A84">
        <v>229</v>
      </c>
      <c r="B84" t="s">
        <v>692</v>
      </c>
      <c r="C84" t="s">
        <v>693</v>
      </c>
      <c r="D84" t="s">
        <v>694</v>
      </c>
      <c r="E84" s="1">
        <v>45242</v>
      </c>
      <c r="F84" t="s">
        <v>30</v>
      </c>
    </row>
    <row r="85" spans="1:6" x14ac:dyDescent="0.25">
      <c r="A85">
        <v>239</v>
      </c>
      <c r="B85" t="s">
        <v>722</v>
      </c>
      <c r="C85" t="s">
        <v>723</v>
      </c>
      <c r="D85" t="s">
        <v>724</v>
      </c>
      <c r="E85" s="1">
        <v>45017</v>
      </c>
      <c r="F85" t="s">
        <v>19</v>
      </c>
    </row>
    <row r="86" spans="1:6" x14ac:dyDescent="0.25">
      <c r="A86">
        <v>111</v>
      </c>
      <c r="B86" t="s">
        <v>341</v>
      </c>
      <c r="C86" t="s">
        <v>342</v>
      </c>
      <c r="D86" t="s">
        <v>343</v>
      </c>
      <c r="E86" s="1">
        <v>45006</v>
      </c>
      <c r="F86" t="s">
        <v>30</v>
      </c>
    </row>
    <row r="87" spans="1:6" x14ac:dyDescent="0.25">
      <c r="A87">
        <v>47</v>
      </c>
      <c r="B87" t="s">
        <v>150</v>
      </c>
      <c r="C87" t="s">
        <v>151</v>
      </c>
      <c r="D87" t="s">
        <v>152</v>
      </c>
      <c r="E87" s="1">
        <v>45197</v>
      </c>
      <c r="F87" t="s">
        <v>19</v>
      </c>
    </row>
    <row r="88" spans="1:6" x14ac:dyDescent="0.25">
      <c r="A88">
        <v>293</v>
      </c>
      <c r="B88" t="s">
        <v>878</v>
      </c>
      <c r="C88" t="s">
        <v>879</v>
      </c>
      <c r="D88" t="s">
        <v>880</v>
      </c>
      <c r="E88" s="1">
        <v>45116</v>
      </c>
      <c r="F88" t="s">
        <v>9</v>
      </c>
    </row>
    <row r="89" spans="1:6" x14ac:dyDescent="0.25">
      <c r="A89">
        <v>115</v>
      </c>
      <c r="B89" t="s">
        <v>353</v>
      </c>
      <c r="C89" t="s">
        <v>354</v>
      </c>
      <c r="D89" t="s">
        <v>355</v>
      </c>
      <c r="E89" s="1">
        <v>45244</v>
      </c>
      <c r="F89" t="s">
        <v>30</v>
      </c>
    </row>
    <row r="90" spans="1:6" x14ac:dyDescent="0.25">
      <c r="A90">
        <v>138</v>
      </c>
      <c r="B90" t="s">
        <v>422</v>
      </c>
      <c r="C90" t="s">
        <v>423</v>
      </c>
      <c r="D90" t="s">
        <v>424</v>
      </c>
      <c r="E90" s="1">
        <v>45025</v>
      </c>
      <c r="F90" t="s">
        <v>19</v>
      </c>
    </row>
    <row r="91" spans="1:6" x14ac:dyDescent="0.25">
      <c r="A91">
        <v>159</v>
      </c>
      <c r="B91" t="s">
        <v>485</v>
      </c>
      <c r="C91" t="s">
        <v>486</v>
      </c>
      <c r="D91" t="s">
        <v>487</v>
      </c>
      <c r="E91" s="1">
        <v>45027</v>
      </c>
      <c r="F91" t="s">
        <v>94</v>
      </c>
    </row>
    <row r="92" spans="1:6" x14ac:dyDescent="0.25">
      <c r="A92">
        <v>214</v>
      </c>
      <c r="B92" t="s">
        <v>648</v>
      </c>
      <c r="C92" t="s">
        <v>649</v>
      </c>
      <c r="D92" t="s">
        <v>650</v>
      </c>
      <c r="E92" s="1">
        <v>45050</v>
      </c>
      <c r="F92" t="s">
        <v>9</v>
      </c>
    </row>
    <row r="93" spans="1:6" x14ac:dyDescent="0.25">
      <c r="A93">
        <v>272</v>
      </c>
      <c r="B93" t="s">
        <v>716</v>
      </c>
      <c r="C93" t="s">
        <v>820</v>
      </c>
      <c r="D93" t="s">
        <v>821</v>
      </c>
      <c r="E93" s="1">
        <v>45240</v>
      </c>
      <c r="F93" t="s">
        <v>19</v>
      </c>
    </row>
    <row r="94" spans="1:6" x14ac:dyDescent="0.25">
      <c r="A94">
        <v>59</v>
      </c>
      <c r="B94" t="s">
        <v>186</v>
      </c>
      <c r="C94" t="s">
        <v>187</v>
      </c>
      <c r="D94" t="s">
        <v>188</v>
      </c>
      <c r="E94" s="1">
        <v>45040</v>
      </c>
      <c r="F94" t="s">
        <v>23</v>
      </c>
    </row>
    <row r="95" spans="1:6" x14ac:dyDescent="0.25">
      <c r="A95">
        <v>257</v>
      </c>
      <c r="B95" t="s">
        <v>775</v>
      </c>
      <c r="C95" t="s">
        <v>776</v>
      </c>
      <c r="D95" t="s">
        <v>777</v>
      </c>
      <c r="E95" s="1">
        <v>45214</v>
      </c>
      <c r="F95" t="s">
        <v>94</v>
      </c>
    </row>
    <row r="96" spans="1:6" x14ac:dyDescent="0.25">
      <c r="A96">
        <v>38</v>
      </c>
      <c r="B96" t="s">
        <v>123</v>
      </c>
      <c r="C96" t="s">
        <v>124</v>
      </c>
      <c r="D96" t="s">
        <v>125</v>
      </c>
      <c r="E96" s="1">
        <v>45279</v>
      </c>
      <c r="F96" t="s">
        <v>9</v>
      </c>
    </row>
    <row r="97" spans="1:6" x14ac:dyDescent="0.25">
      <c r="A97">
        <v>84</v>
      </c>
      <c r="B97" t="s">
        <v>261</v>
      </c>
      <c r="C97" t="s">
        <v>262</v>
      </c>
      <c r="D97" t="s">
        <v>263</v>
      </c>
      <c r="E97" s="1">
        <v>45246</v>
      </c>
      <c r="F97" t="s">
        <v>19</v>
      </c>
    </row>
    <row r="98" spans="1:6" x14ac:dyDescent="0.25">
      <c r="A98">
        <v>186</v>
      </c>
      <c r="B98" t="s">
        <v>566</v>
      </c>
      <c r="C98" t="s">
        <v>567</v>
      </c>
      <c r="D98" t="s">
        <v>568</v>
      </c>
      <c r="E98" s="1">
        <v>45265</v>
      </c>
      <c r="F98" t="s">
        <v>9</v>
      </c>
    </row>
    <row r="99" spans="1:6" x14ac:dyDescent="0.25">
      <c r="A99">
        <v>326</v>
      </c>
      <c r="B99" t="s">
        <v>975</v>
      </c>
      <c r="C99" t="s">
        <v>976</v>
      </c>
      <c r="D99" t="s">
        <v>977</v>
      </c>
      <c r="E99" s="1">
        <v>45098</v>
      </c>
      <c r="F99" t="s">
        <v>30</v>
      </c>
    </row>
    <row r="100" spans="1:6" x14ac:dyDescent="0.25">
      <c r="A100">
        <v>207</v>
      </c>
      <c r="B100" t="s">
        <v>627</v>
      </c>
      <c r="C100" t="s">
        <v>628</v>
      </c>
      <c r="D100" t="s">
        <v>629</v>
      </c>
      <c r="E100" s="1">
        <v>45094</v>
      </c>
      <c r="F100" t="s">
        <v>19</v>
      </c>
    </row>
    <row r="101" spans="1:6" x14ac:dyDescent="0.25">
      <c r="A101">
        <v>4</v>
      </c>
      <c r="B101" t="s">
        <v>16</v>
      </c>
      <c r="C101" t="s">
        <v>17</v>
      </c>
      <c r="D101" t="s">
        <v>18</v>
      </c>
      <c r="E101" s="1">
        <v>45225</v>
      </c>
      <c r="F101" t="s">
        <v>19</v>
      </c>
    </row>
    <row r="102" spans="1:6" x14ac:dyDescent="0.25">
      <c r="A102">
        <v>32</v>
      </c>
      <c r="B102" t="s">
        <v>104</v>
      </c>
      <c r="C102" t="s">
        <v>105</v>
      </c>
      <c r="D102" t="s">
        <v>106</v>
      </c>
      <c r="E102" s="1">
        <v>45134</v>
      </c>
      <c r="F102" t="s">
        <v>30</v>
      </c>
    </row>
    <row r="103" spans="1:6" x14ac:dyDescent="0.25">
      <c r="A103">
        <v>322</v>
      </c>
      <c r="B103" t="s">
        <v>95</v>
      </c>
      <c r="C103" t="s">
        <v>964</v>
      </c>
      <c r="D103" t="s">
        <v>965</v>
      </c>
      <c r="E103" s="1">
        <v>45249</v>
      </c>
      <c r="F103" t="s">
        <v>94</v>
      </c>
    </row>
    <row r="104" spans="1:6" x14ac:dyDescent="0.25">
      <c r="A104">
        <v>171</v>
      </c>
      <c r="B104" t="s">
        <v>521</v>
      </c>
      <c r="C104" t="s">
        <v>522</v>
      </c>
      <c r="D104" t="s">
        <v>523</v>
      </c>
      <c r="E104" s="1">
        <v>45019</v>
      </c>
      <c r="F104" t="s">
        <v>30</v>
      </c>
    </row>
    <row r="105" spans="1:6" x14ac:dyDescent="0.25">
      <c r="A105">
        <v>130</v>
      </c>
      <c r="B105" t="s">
        <v>398</v>
      </c>
      <c r="C105" t="s">
        <v>399</v>
      </c>
      <c r="D105" t="s">
        <v>400</v>
      </c>
      <c r="E105" s="1">
        <v>45177</v>
      </c>
      <c r="F105" t="s">
        <v>19</v>
      </c>
    </row>
    <row r="106" spans="1:6" x14ac:dyDescent="0.25">
      <c r="A106">
        <v>89</v>
      </c>
      <c r="B106" t="s">
        <v>276</v>
      </c>
      <c r="C106" t="s">
        <v>277</v>
      </c>
      <c r="D106" t="s">
        <v>278</v>
      </c>
      <c r="E106" s="1">
        <v>45019</v>
      </c>
      <c r="F106" t="s">
        <v>9</v>
      </c>
    </row>
    <row r="107" spans="1:6" x14ac:dyDescent="0.25">
      <c r="A107">
        <v>278</v>
      </c>
      <c r="B107" t="s">
        <v>835</v>
      </c>
      <c r="C107" t="s">
        <v>836</v>
      </c>
      <c r="D107" t="s">
        <v>837</v>
      </c>
      <c r="E107" s="1">
        <v>45159</v>
      </c>
      <c r="F107" t="s">
        <v>23</v>
      </c>
    </row>
    <row r="108" spans="1:6" x14ac:dyDescent="0.25">
      <c r="A108">
        <v>108</v>
      </c>
      <c r="B108" t="s">
        <v>332</v>
      </c>
      <c r="C108" t="s">
        <v>333</v>
      </c>
      <c r="D108" t="s">
        <v>334</v>
      </c>
      <c r="E108" s="1">
        <v>45081</v>
      </c>
      <c r="F108" t="s">
        <v>9</v>
      </c>
    </row>
    <row r="109" spans="1:6" x14ac:dyDescent="0.25">
      <c r="A109">
        <v>177</v>
      </c>
      <c r="B109" t="s">
        <v>539</v>
      </c>
      <c r="C109" t="s">
        <v>540</v>
      </c>
      <c r="D109" t="s">
        <v>541</v>
      </c>
      <c r="E109" s="1">
        <v>45163</v>
      </c>
      <c r="F109" t="s">
        <v>94</v>
      </c>
    </row>
    <row r="110" spans="1:6" x14ac:dyDescent="0.25">
      <c r="A110">
        <v>60</v>
      </c>
      <c r="B110" t="s">
        <v>189</v>
      </c>
      <c r="C110" t="s">
        <v>190</v>
      </c>
      <c r="D110" t="s">
        <v>191</v>
      </c>
      <c r="E110" s="1">
        <v>45033</v>
      </c>
      <c r="F110" t="s">
        <v>94</v>
      </c>
    </row>
    <row r="111" spans="1:6" x14ac:dyDescent="0.25">
      <c r="A111">
        <v>260</v>
      </c>
      <c r="B111" t="s">
        <v>784</v>
      </c>
      <c r="C111" t="s">
        <v>785</v>
      </c>
      <c r="D111" t="s">
        <v>786</v>
      </c>
      <c r="E111" s="1">
        <v>45133</v>
      </c>
      <c r="F111" t="s">
        <v>19</v>
      </c>
    </row>
    <row r="112" spans="1:6" x14ac:dyDescent="0.25">
      <c r="A112">
        <v>223</v>
      </c>
      <c r="B112" t="s">
        <v>10</v>
      </c>
      <c r="C112" t="s">
        <v>675</v>
      </c>
      <c r="D112" t="s">
        <v>676</v>
      </c>
      <c r="E112" s="1">
        <v>45148</v>
      </c>
      <c r="F112" t="s">
        <v>19</v>
      </c>
    </row>
    <row r="113" spans="1:6" x14ac:dyDescent="0.25">
      <c r="A113">
        <v>110</v>
      </c>
      <c r="B113" t="s">
        <v>338</v>
      </c>
      <c r="C113" t="s">
        <v>339</v>
      </c>
      <c r="D113" t="s">
        <v>340</v>
      </c>
      <c r="E113" s="1">
        <v>45091</v>
      </c>
      <c r="F113" t="s">
        <v>94</v>
      </c>
    </row>
    <row r="114" spans="1:6" x14ac:dyDescent="0.25">
      <c r="A114">
        <v>25</v>
      </c>
      <c r="B114" t="s">
        <v>82</v>
      </c>
      <c r="C114" t="s">
        <v>83</v>
      </c>
      <c r="D114" t="s">
        <v>84</v>
      </c>
      <c r="E114" s="1">
        <v>45095</v>
      </c>
      <c r="F114" t="s">
        <v>9</v>
      </c>
    </row>
    <row r="115" spans="1:6" x14ac:dyDescent="0.25">
      <c r="A115">
        <v>221</v>
      </c>
      <c r="B115" t="s">
        <v>669</v>
      </c>
      <c r="C115" t="s">
        <v>670</v>
      </c>
      <c r="D115" t="s">
        <v>671</v>
      </c>
      <c r="E115" s="1">
        <v>45086</v>
      </c>
      <c r="F115" t="s">
        <v>19</v>
      </c>
    </row>
    <row r="116" spans="1:6" x14ac:dyDescent="0.25">
      <c r="A116">
        <v>13</v>
      </c>
      <c r="B116" t="s">
        <v>46</v>
      </c>
      <c r="C116" t="s">
        <v>47</v>
      </c>
      <c r="D116" t="s">
        <v>48</v>
      </c>
      <c r="E116" s="1">
        <v>45222</v>
      </c>
      <c r="F116" t="s">
        <v>23</v>
      </c>
    </row>
    <row r="117" spans="1:6" x14ac:dyDescent="0.25">
      <c r="A117">
        <v>21</v>
      </c>
      <c r="B117" t="s">
        <v>70</v>
      </c>
      <c r="C117" t="s">
        <v>71</v>
      </c>
      <c r="D117" t="s">
        <v>72</v>
      </c>
      <c r="E117" s="1">
        <v>45071</v>
      </c>
      <c r="F117" t="s">
        <v>19</v>
      </c>
    </row>
    <row r="118" spans="1:6" x14ac:dyDescent="0.25">
      <c r="A118">
        <v>284</v>
      </c>
      <c r="B118" t="s">
        <v>851</v>
      </c>
      <c r="C118" t="s">
        <v>852</v>
      </c>
      <c r="D118" t="s">
        <v>853</v>
      </c>
      <c r="E118" s="1">
        <v>45122</v>
      </c>
      <c r="F118" t="s">
        <v>116</v>
      </c>
    </row>
    <row r="119" spans="1:6" x14ac:dyDescent="0.25">
      <c r="A119">
        <v>267</v>
      </c>
      <c r="B119" t="s">
        <v>805</v>
      </c>
      <c r="C119" t="s">
        <v>806</v>
      </c>
      <c r="D119" t="s">
        <v>807</v>
      </c>
      <c r="E119" s="1">
        <v>45235</v>
      </c>
      <c r="F119" t="s">
        <v>23</v>
      </c>
    </row>
    <row r="120" spans="1:6" x14ac:dyDescent="0.25">
      <c r="A120">
        <v>251</v>
      </c>
      <c r="B120" t="s">
        <v>757</v>
      </c>
      <c r="C120" t="s">
        <v>758</v>
      </c>
      <c r="D120" t="s">
        <v>759</v>
      </c>
      <c r="E120" s="1">
        <v>45044</v>
      </c>
      <c r="F120" t="s">
        <v>23</v>
      </c>
    </row>
    <row r="121" spans="1:6" x14ac:dyDescent="0.25">
      <c r="A121">
        <v>196</v>
      </c>
      <c r="B121" t="s">
        <v>595</v>
      </c>
      <c r="C121" t="s">
        <v>596</v>
      </c>
      <c r="D121" t="s">
        <v>597</v>
      </c>
      <c r="E121" s="1">
        <v>45079</v>
      </c>
      <c r="F121" t="s">
        <v>30</v>
      </c>
    </row>
    <row r="122" spans="1:6" x14ac:dyDescent="0.25">
      <c r="A122">
        <v>169</v>
      </c>
      <c r="B122" t="s">
        <v>515</v>
      </c>
      <c r="C122" t="s">
        <v>516</v>
      </c>
      <c r="D122" t="s">
        <v>517</v>
      </c>
      <c r="E122" s="1">
        <v>45004</v>
      </c>
      <c r="F122" t="s">
        <v>23</v>
      </c>
    </row>
    <row r="123" spans="1:6" x14ac:dyDescent="0.25">
      <c r="A123">
        <v>276</v>
      </c>
      <c r="B123" t="s">
        <v>554</v>
      </c>
      <c r="C123" t="s">
        <v>831</v>
      </c>
      <c r="D123" t="s">
        <v>832</v>
      </c>
      <c r="E123" s="1">
        <v>45015</v>
      </c>
      <c r="F123" t="s">
        <v>9</v>
      </c>
    </row>
    <row r="124" spans="1:6" x14ac:dyDescent="0.25">
      <c r="A124">
        <v>137</v>
      </c>
      <c r="B124" t="s">
        <v>419</v>
      </c>
      <c r="C124" t="s">
        <v>420</v>
      </c>
      <c r="D124" t="s">
        <v>421</v>
      </c>
      <c r="E124" s="1">
        <v>45200</v>
      </c>
      <c r="F124" t="s">
        <v>9</v>
      </c>
    </row>
    <row r="125" spans="1:6" x14ac:dyDescent="0.25">
      <c r="A125">
        <v>52</v>
      </c>
      <c r="B125" t="s">
        <v>165</v>
      </c>
      <c r="C125" t="s">
        <v>166</v>
      </c>
      <c r="D125" t="s">
        <v>167</v>
      </c>
      <c r="E125" s="1">
        <v>45208</v>
      </c>
      <c r="F125" t="s">
        <v>9</v>
      </c>
    </row>
    <row r="126" spans="1:6" x14ac:dyDescent="0.25">
      <c r="A126">
        <v>297</v>
      </c>
      <c r="B126" t="s">
        <v>890</v>
      </c>
      <c r="C126" t="s">
        <v>891</v>
      </c>
      <c r="D126" t="s">
        <v>892</v>
      </c>
      <c r="E126" s="1">
        <v>45189</v>
      </c>
      <c r="F126" t="s">
        <v>19</v>
      </c>
    </row>
    <row r="127" spans="1:6" x14ac:dyDescent="0.25">
      <c r="A127">
        <v>289</v>
      </c>
      <c r="B127" t="s">
        <v>866</v>
      </c>
      <c r="C127" t="s">
        <v>867</v>
      </c>
      <c r="D127" t="s">
        <v>868</v>
      </c>
      <c r="E127" s="1">
        <v>45258</v>
      </c>
      <c r="F127" t="s">
        <v>30</v>
      </c>
    </row>
    <row r="128" spans="1:6" x14ac:dyDescent="0.25">
      <c r="A128">
        <v>313</v>
      </c>
      <c r="B128" t="s">
        <v>937</v>
      </c>
      <c r="C128" t="s">
        <v>938</v>
      </c>
      <c r="D128" t="s">
        <v>939</v>
      </c>
      <c r="E128" s="1">
        <v>45121</v>
      </c>
      <c r="F128" t="s">
        <v>30</v>
      </c>
    </row>
    <row r="129" spans="1:6" x14ac:dyDescent="0.25">
      <c r="A129">
        <v>157</v>
      </c>
      <c r="B129" t="s">
        <v>479</v>
      </c>
      <c r="C129" t="s">
        <v>480</v>
      </c>
      <c r="D129" t="s">
        <v>481</v>
      </c>
      <c r="E129" s="1">
        <v>45068</v>
      </c>
      <c r="F129" t="s">
        <v>9</v>
      </c>
    </row>
    <row r="130" spans="1:6" x14ac:dyDescent="0.25">
      <c r="A130">
        <v>49</v>
      </c>
      <c r="B130" t="s">
        <v>156</v>
      </c>
      <c r="C130" t="s">
        <v>157</v>
      </c>
      <c r="D130" t="s">
        <v>158</v>
      </c>
      <c r="E130" s="1">
        <v>45264</v>
      </c>
      <c r="F130" t="s">
        <v>19</v>
      </c>
    </row>
    <row r="131" spans="1:6" x14ac:dyDescent="0.25">
      <c r="A131">
        <v>261</v>
      </c>
      <c r="B131" t="s">
        <v>787</v>
      </c>
      <c r="C131" t="s">
        <v>788</v>
      </c>
      <c r="D131" t="s">
        <v>789</v>
      </c>
      <c r="E131" s="1">
        <v>45284</v>
      </c>
      <c r="F131" t="s">
        <v>116</v>
      </c>
    </row>
    <row r="132" spans="1:6" x14ac:dyDescent="0.25">
      <c r="A132">
        <v>99</v>
      </c>
      <c r="B132" t="s">
        <v>305</v>
      </c>
      <c r="C132" t="s">
        <v>306</v>
      </c>
      <c r="D132" t="s">
        <v>307</v>
      </c>
      <c r="E132" s="1">
        <v>45147</v>
      </c>
      <c r="F132" t="s">
        <v>19</v>
      </c>
    </row>
    <row r="133" spans="1:6" x14ac:dyDescent="0.25">
      <c r="A133">
        <v>271</v>
      </c>
      <c r="B133" t="s">
        <v>817</v>
      </c>
      <c r="C133" t="s">
        <v>818</v>
      </c>
      <c r="D133" t="s">
        <v>819</v>
      </c>
      <c r="E133" s="1">
        <v>45216</v>
      </c>
      <c r="F133" t="s">
        <v>9</v>
      </c>
    </row>
    <row r="134" spans="1:6" x14ac:dyDescent="0.25">
      <c r="A134">
        <v>192</v>
      </c>
      <c r="B134" t="s">
        <v>583</v>
      </c>
      <c r="C134" t="s">
        <v>584</v>
      </c>
      <c r="D134" t="s">
        <v>585</v>
      </c>
      <c r="E134" s="1">
        <v>45006</v>
      </c>
      <c r="F134" t="s">
        <v>30</v>
      </c>
    </row>
    <row r="135" spans="1:6" x14ac:dyDescent="0.25">
      <c r="A135">
        <v>152</v>
      </c>
      <c r="B135" t="s">
        <v>464</v>
      </c>
      <c r="C135" t="s">
        <v>465</v>
      </c>
      <c r="D135" t="s">
        <v>466</v>
      </c>
      <c r="E135" s="1">
        <v>45165</v>
      </c>
      <c r="F135" t="s">
        <v>116</v>
      </c>
    </row>
    <row r="136" spans="1:6" x14ac:dyDescent="0.25">
      <c r="A136">
        <v>72</v>
      </c>
      <c r="B136" t="s">
        <v>225</v>
      </c>
      <c r="C136" t="s">
        <v>226</v>
      </c>
      <c r="D136" t="s">
        <v>227</v>
      </c>
      <c r="E136" s="1">
        <v>45227</v>
      </c>
      <c r="F136" t="s">
        <v>23</v>
      </c>
    </row>
    <row r="137" spans="1:6" x14ac:dyDescent="0.25">
      <c r="A137">
        <v>83</v>
      </c>
      <c r="B137" t="s">
        <v>258</v>
      </c>
      <c r="C137" t="s">
        <v>259</v>
      </c>
      <c r="D137" t="s">
        <v>260</v>
      </c>
      <c r="E137" s="1">
        <v>45183</v>
      </c>
      <c r="F137" t="s">
        <v>19</v>
      </c>
    </row>
    <row r="138" spans="1:6" x14ac:dyDescent="0.25">
      <c r="A138">
        <v>85</v>
      </c>
      <c r="B138" t="s">
        <v>264</v>
      </c>
      <c r="C138" t="s">
        <v>265</v>
      </c>
      <c r="D138" t="s">
        <v>266</v>
      </c>
      <c r="E138" s="1">
        <v>45018</v>
      </c>
      <c r="F138" t="s">
        <v>30</v>
      </c>
    </row>
    <row r="139" spans="1:6" x14ac:dyDescent="0.25">
      <c r="A139">
        <v>131</v>
      </c>
      <c r="B139" t="s">
        <v>401</v>
      </c>
      <c r="C139" t="s">
        <v>402</v>
      </c>
      <c r="D139" t="s">
        <v>403</v>
      </c>
      <c r="E139" s="1">
        <v>45115</v>
      </c>
      <c r="F139" t="s">
        <v>19</v>
      </c>
    </row>
    <row r="140" spans="1:6" x14ac:dyDescent="0.25">
      <c r="A140">
        <v>300</v>
      </c>
      <c r="B140" t="s">
        <v>899</v>
      </c>
      <c r="C140" t="s">
        <v>900</v>
      </c>
      <c r="D140" t="s">
        <v>901</v>
      </c>
      <c r="E140" s="1">
        <v>45163</v>
      </c>
      <c r="F140" t="s">
        <v>94</v>
      </c>
    </row>
    <row r="141" spans="1:6" x14ac:dyDescent="0.25">
      <c r="A141">
        <v>112</v>
      </c>
      <c r="B141" t="s">
        <v>344</v>
      </c>
      <c r="C141" t="s">
        <v>345</v>
      </c>
      <c r="D141" t="s">
        <v>346</v>
      </c>
      <c r="E141" s="1">
        <v>45279</v>
      </c>
      <c r="F141" t="s">
        <v>94</v>
      </c>
    </row>
    <row r="142" spans="1:6" x14ac:dyDescent="0.25">
      <c r="A142">
        <v>29</v>
      </c>
      <c r="B142" t="s">
        <v>95</v>
      </c>
      <c r="C142" t="s">
        <v>96</v>
      </c>
      <c r="D142" t="s">
        <v>97</v>
      </c>
      <c r="E142" s="1">
        <v>45179</v>
      </c>
      <c r="F142" t="s">
        <v>94</v>
      </c>
    </row>
    <row r="143" spans="1:6" x14ac:dyDescent="0.25">
      <c r="A143">
        <v>155</v>
      </c>
      <c r="B143" t="s">
        <v>473</v>
      </c>
      <c r="C143" t="s">
        <v>474</v>
      </c>
      <c r="D143" t="s">
        <v>475</v>
      </c>
      <c r="E143" s="1">
        <v>45278</v>
      </c>
      <c r="F143" t="s">
        <v>30</v>
      </c>
    </row>
    <row r="144" spans="1:6" x14ac:dyDescent="0.25">
      <c r="A144">
        <v>82</v>
      </c>
      <c r="B144" t="s">
        <v>255</v>
      </c>
      <c r="C144" t="s">
        <v>256</v>
      </c>
      <c r="D144" t="s">
        <v>257</v>
      </c>
      <c r="E144" s="1">
        <v>45236</v>
      </c>
      <c r="F144" t="s">
        <v>19</v>
      </c>
    </row>
    <row r="145" spans="1:6" x14ac:dyDescent="0.25">
      <c r="A145">
        <v>303</v>
      </c>
      <c r="B145" t="s">
        <v>908</v>
      </c>
      <c r="C145" t="s">
        <v>909</v>
      </c>
      <c r="D145" t="s">
        <v>910</v>
      </c>
      <c r="E145" s="1">
        <v>45054</v>
      </c>
      <c r="F145" t="s">
        <v>23</v>
      </c>
    </row>
    <row r="146" spans="1:6" x14ac:dyDescent="0.25">
      <c r="A146">
        <v>312</v>
      </c>
      <c r="B146" t="s">
        <v>566</v>
      </c>
      <c r="C146" t="s">
        <v>935</v>
      </c>
      <c r="D146" t="s">
        <v>936</v>
      </c>
      <c r="E146" s="1">
        <v>45141</v>
      </c>
      <c r="F146" t="s">
        <v>30</v>
      </c>
    </row>
    <row r="147" spans="1:6" x14ac:dyDescent="0.25">
      <c r="A147">
        <v>7</v>
      </c>
      <c r="B147" t="s">
        <v>27</v>
      </c>
      <c r="C147" t="s">
        <v>28</v>
      </c>
      <c r="D147" t="s">
        <v>29</v>
      </c>
      <c r="E147" s="1">
        <v>45004</v>
      </c>
      <c r="F147" t="s">
        <v>30</v>
      </c>
    </row>
    <row r="148" spans="1:6" x14ac:dyDescent="0.25">
      <c r="A148">
        <v>176</v>
      </c>
      <c r="B148" t="s">
        <v>536</v>
      </c>
      <c r="C148" t="s">
        <v>537</v>
      </c>
      <c r="D148" t="s">
        <v>538</v>
      </c>
      <c r="E148" s="1">
        <v>45193</v>
      </c>
      <c r="F148" t="s">
        <v>94</v>
      </c>
    </row>
    <row r="149" spans="1:6" x14ac:dyDescent="0.25">
      <c r="A149">
        <v>17</v>
      </c>
      <c r="B149" t="s">
        <v>58</v>
      </c>
      <c r="C149" t="s">
        <v>59</v>
      </c>
      <c r="D149" t="s">
        <v>60</v>
      </c>
      <c r="E149" s="1">
        <v>45132</v>
      </c>
      <c r="F149" t="s">
        <v>19</v>
      </c>
    </row>
    <row r="150" spans="1:6" x14ac:dyDescent="0.25">
      <c r="A150">
        <v>167</v>
      </c>
      <c r="B150" t="s">
        <v>509</v>
      </c>
      <c r="C150" t="s">
        <v>510</v>
      </c>
      <c r="D150" t="s">
        <v>511</v>
      </c>
      <c r="E150" s="1">
        <v>45224</v>
      </c>
      <c r="F150" t="s">
        <v>19</v>
      </c>
    </row>
    <row r="151" spans="1:6" x14ac:dyDescent="0.25">
      <c r="A151">
        <v>236</v>
      </c>
      <c r="B151" t="s">
        <v>713</v>
      </c>
      <c r="C151" t="s">
        <v>714</v>
      </c>
      <c r="D151" t="s">
        <v>715</v>
      </c>
      <c r="E151" s="1">
        <v>45190</v>
      </c>
      <c r="F151" t="s">
        <v>19</v>
      </c>
    </row>
    <row r="152" spans="1:6" x14ac:dyDescent="0.25">
      <c r="A152">
        <v>287</v>
      </c>
      <c r="B152" t="s">
        <v>860</v>
      </c>
      <c r="C152" t="s">
        <v>861</v>
      </c>
      <c r="D152" t="s">
        <v>862</v>
      </c>
      <c r="E152" s="1">
        <v>45243</v>
      </c>
      <c r="F152" t="s">
        <v>94</v>
      </c>
    </row>
    <row r="153" spans="1:6" x14ac:dyDescent="0.25">
      <c r="A153">
        <v>107</v>
      </c>
      <c r="B153" t="s">
        <v>329</v>
      </c>
      <c r="C153" t="s">
        <v>330</v>
      </c>
      <c r="D153" t="s">
        <v>331</v>
      </c>
      <c r="E153" s="1">
        <v>45118</v>
      </c>
      <c r="F153" t="s">
        <v>9</v>
      </c>
    </row>
    <row r="154" spans="1:6" x14ac:dyDescent="0.25">
      <c r="A154">
        <v>95</v>
      </c>
      <c r="B154" t="s">
        <v>294</v>
      </c>
      <c r="C154" t="s">
        <v>295</v>
      </c>
      <c r="D154" t="s">
        <v>296</v>
      </c>
      <c r="E154" s="1">
        <v>45072</v>
      </c>
      <c r="F154" t="s">
        <v>19</v>
      </c>
    </row>
    <row r="155" spans="1:6" x14ac:dyDescent="0.25">
      <c r="A155">
        <v>101</v>
      </c>
      <c r="B155" t="s">
        <v>311</v>
      </c>
      <c r="C155" t="s">
        <v>312</v>
      </c>
      <c r="D155" t="s">
        <v>313</v>
      </c>
      <c r="E155" s="1">
        <v>45221</v>
      </c>
      <c r="F155" t="s">
        <v>19</v>
      </c>
    </row>
    <row r="156" spans="1:6" x14ac:dyDescent="0.25">
      <c r="A156">
        <v>283</v>
      </c>
      <c r="B156" t="s">
        <v>849</v>
      </c>
      <c r="C156" t="s">
        <v>312</v>
      </c>
      <c r="D156" t="s">
        <v>850</v>
      </c>
      <c r="E156" s="1">
        <v>45049</v>
      </c>
      <c r="F156" t="s">
        <v>19</v>
      </c>
    </row>
    <row r="157" spans="1:6" x14ac:dyDescent="0.25">
      <c r="A157">
        <v>164</v>
      </c>
      <c r="B157" t="s">
        <v>500</v>
      </c>
      <c r="C157" t="s">
        <v>501</v>
      </c>
      <c r="D157" t="s">
        <v>502</v>
      </c>
      <c r="E157" s="1">
        <v>45271</v>
      </c>
      <c r="F157" t="s">
        <v>23</v>
      </c>
    </row>
    <row r="158" spans="1:6" x14ac:dyDescent="0.25">
      <c r="A158">
        <v>228</v>
      </c>
      <c r="B158" t="s">
        <v>689</v>
      </c>
      <c r="C158" t="s">
        <v>690</v>
      </c>
      <c r="D158" t="s">
        <v>691</v>
      </c>
      <c r="E158" s="1">
        <v>45288</v>
      </c>
      <c r="F158" t="s">
        <v>23</v>
      </c>
    </row>
    <row r="159" spans="1:6" x14ac:dyDescent="0.25">
      <c r="A159">
        <v>204</v>
      </c>
      <c r="B159" t="s">
        <v>619</v>
      </c>
      <c r="C159" t="s">
        <v>620</v>
      </c>
      <c r="D159" t="s">
        <v>621</v>
      </c>
      <c r="E159" s="1">
        <v>45083</v>
      </c>
      <c r="F159" t="s">
        <v>9</v>
      </c>
    </row>
    <row r="160" spans="1:6" x14ac:dyDescent="0.25">
      <c r="A160">
        <v>129</v>
      </c>
      <c r="B160" t="s">
        <v>395</v>
      </c>
      <c r="C160" t="s">
        <v>396</v>
      </c>
      <c r="D160" t="s">
        <v>397</v>
      </c>
      <c r="E160" s="1">
        <v>45004</v>
      </c>
      <c r="F160" t="s">
        <v>9</v>
      </c>
    </row>
    <row r="161" spans="1:6" x14ac:dyDescent="0.25">
      <c r="A161">
        <v>304</v>
      </c>
      <c r="B161" t="s">
        <v>911</v>
      </c>
      <c r="C161" t="s">
        <v>912</v>
      </c>
      <c r="D161" t="s">
        <v>913</v>
      </c>
      <c r="E161" s="1">
        <v>45046</v>
      </c>
      <c r="F161" t="s">
        <v>30</v>
      </c>
    </row>
    <row r="162" spans="1:6" x14ac:dyDescent="0.25">
      <c r="A162">
        <v>65</v>
      </c>
      <c r="B162" t="s">
        <v>204</v>
      </c>
      <c r="C162" t="s">
        <v>205</v>
      </c>
      <c r="D162" t="s">
        <v>206</v>
      </c>
      <c r="E162" s="1">
        <v>45106</v>
      </c>
      <c r="F162" t="s">
        <v>19</v>
      </c>
    </row>
    <row r="163" spans="1:6" x14ac:dyDescent="0.25">
      <c r="A163">
        <v>209</v>
      </c>
      <c r="B163" t="s">
        <v>633</v>
      </c>
      <c r="C163" t="s">
        <v>634</v>
      </c>
      <c r="D163" t="s">
        <v>635</v>
      </c>
      <c r="E163" s="1">
        <v>45224</v>
      </c>
      <c r="F163" t="s">
        <v>19</v>
      </c>
    </row>
    <row r="164" spans="1:6" x14ac:dyDescent="0.25">
      <c r="A164">
        <v>233</v>
      </c>
      <c r="B164" t="s">
        <v>704</v>
      </c>
      <c r="C164" t="s">
        <v>705</v>
      </c>
      <c r="D164" t="s">
        <v>706</v>
      </c>
      <c r="E164" s="1">
        <v>45248</v>
      </c>
      <c r="F164" t="s">
        <v>23</v>
      </c>
    </row>
    <row r="165" spans="1:6" x14ac:dyDescent="0.25">
      <c r="A165">
        <v>136</v>
      </c>
      <c r="B165" t="s">
        <v>416</v>
      </c>
      <c r="C165" t="s">
        <v>417</v>
      </c>
      <c r="D165" t="s">
        <v>418</v>
      </c>
      <c r="E165" s="1">
        <v>45016</v>
      </c>
      <c r="F165" t="s">
        <v>9</v>
      </c>
    </row>
    <row r="166" spans="1:6" x14ac:dyDescent="0.25">
      <c r="A166">
        <v>41</v>
      </c>
      <c r="B166" t="s">
        <v>132</v>
      </c>
      <c r="C166" t="s">
        <v>133</v>
      </c>
      <c r="D166" t="s">
        <v>134</v>
      </c>
      <c r="E166" s="1">
        <v>45136</v>
      </c>
      <c r="F166" t="s">
        <v>9</v>
      </c>
    </row>
    <row r="167" spans="1:6" x14ac:dyDescent="0.25">
      <c r="A167">
        <v>203</v>
      </c>
      <c r="B167" t="s">
        <v>616</v>
      </c>
      <c r="C167" t="s">
        <v>617</v>
      </c>
      <c r="D167" t="s">
        <v>618</v>
      </c>
      <c r="E167" s="1">
        <v>45201</v>
      </c>
      <c r="F167" t="s">
        <v>19</v>
      </c>
    </row>
    <row r="168" spans="1:6" x14ac:dyDescent="0.25">
      <c r="A168">
        <v>238</v>
      </c>
      <c r="B168" t="s">
        <v>719</v>
      </c>
      <c r="C168" t="s">
        <v>720</v>
      </c>
      <c r="D168" t="s">
        <v>721</v>
      </c>
      <c r="E168" s="1">
        <v>45195</v>
      </c>
      <c r="F168" t="s">
        <v>19</v>
      </c>
    </row>
    <row r="169" spans="1:6" x14ac:dyDescent="0.25">
      <c r="A169">
        <v>185</v>
      </c>
      <c r="B169" t="s">
        <v>563</v>
      </c>
      <c r="C169" t="s">
        <v>564</v>
      </c>
      <c r="D169" t="s">
        <v>565</v>
      </c>
      <c r="E169" s="1">
        <v>45139</v>
      </c>
      <c r="F169" t="s">
        <v>23</v>
      </c>
    </row>
    <row r="170" spans="1:6" x14ac:dyDescent="0.25">
      <c r="A170">
        <v>96</v>
      </c>
      <c r="B170" t="s">
        <v>297</v>
      </c>
      <c r="C170" t="s">
        <v>298</v>
      </c>
      <c r="D170" t="s">
        <v>299</v>
      </c>
      <c r="E170" s="1">
        <v>45146</v>
      </c>
      <c r="F170" t="s">
        <v>19</v>
      </c>
    </row>
    <row r="171" spans="1:6" x14ac:dyDescent="0.25">
      <c r="A171">
        <v>34</v>
      </c>
      <c r="B171" t="s">
        <v>110</v>
      </c>
      <c r="C171" t="s">
        <v>111</v>
      </c>
      <c r="D171" t="s">
        <v>112</v>
      </c>
      <c r="E171" s="1">
        <v>45265</v>
      </c>
      <c r="F171" t="s">
        <v>30</v>
      </c>
    </row>
    <row r="172" spans="1:6" x14ac:dyDescent="0.25">
      <c r="A172">
        <v>100</v>
      </c>
      <c r="B172" t="s">
        <v>308</v>
      </c>
      <c r="C172" t="s">
        <v>309</v>
      </c>
      <c r="D172" t="s">
        <v>310</v>
      </c>
      <c r="E172" s="1">
        <v>45131</v>
      </c>
      <c r="F172" t="s">
        <v>94</v>
      </c>
    </row>
    <row r="173" spans="1:6" x14ac:dyDescent="0.25">
      <c r="A173">
        <v>168</v>
      </c>
      <c r="B173" t="s">
        <v>512</v>
      </c>
      <c r="C173" t="s">
        <v>513</v>
      </c>
      <c r="D173" t="s">
        <v>514</v>
      </c>
      <c r="E173" s="1">
        <v>45133</v>
      </c>
      <c r="F173" t="s">
        <v>23</v>
      </c>
    </row>
    <row r="174" spans="1:6" x14ac:dyDescent="0.25">
      <c r="A174">
        <v>11</v>
      </c>
      <c r="B174" t="s">
        <v>40</v>
      </c>
      <c r="C174" t="s">
        <v>41</v>
      </c>
      <c r="D174" t="s">
        <v>42</v>
      </c>
      <c r="E174" s="1">
        <v>45211</v>
      </c>
      <c r="F174" t="s">
        <v>19</v>
      </c>
    </row>
    <row r="175" spans="1:6" x14ac:dyDescent="0.25">
      <c r="A175">
        <v>316</v>
      </c>
      <c r="B175" t="s">
        <v>946</v>
      </c>
      <c r="C175" t="s">
        <v>947</v>
      </c>
      <c r="D175" t="s">
        <v>948</v>
      </c>
      <c r="E175" s="1">
        <v>45212</v>
      </c>
      <c r="F175" t="s">
        <v>23</v>
      </c>
    </row>
    <row r="176" spans="1:6" x14ac:dyDescent="0.25">
      <c r="A176">
        <v>140</v>
      </c>
      <c r="B176" t="s">
        <v>428</v>
      </c>
      <c r="C176" t="s">
        <v>429</v>
      </c>
      <c r="D176" t="s">
        <v>430</v>
      </c>
      <c r="E176" s="1">
        <v>45209</v>
      </c>
      <c r="F176" t="s">
        <v>94</v>
      </c>
    </row>
    <row r="177" spans="1:6" x14ac:dyDescent="0.25">
      <c r="A177">
        <v>266</v>
      </c>
      <c r="B177" t="s">
        <v>802</v>
      </c>
      <c r="C177" t="s">
        <v>803</v>
      </c>
      <c r="D177" t="s">
        <v>804</v>
      </c>
      <c r="E177" s="1">
        <v>45227</v>
      </c>
      <c r="F177" t="s">
        <v>19</v>
      </c>
    </row>
    <row r="178" spans="1:6" x14ac:dyDescent="0.25">
      <c r="A178">
        <v>55</v>
      </c>
      <c r="B178" t="s">
        <v>174</v>
      </c>
      <c r="C178" t="s">
        <v>175</v>
      </c>
      <c r="D178" t="s">
        <v>176</v>
      </c>
      <c r="E178" s="1">
        <v>45052</v>
      </c>
      <c r="F178" t="s">
        <v>9</v>
      </c>
    </row>
    <row r="179" spans="1:6" x14ac:dyDescent="0.25">
      <c r="A179">
        <v>288</v>
      </c>
      <c r="B179" t="s">
        <v>863</v>
      </c>
      <c r="C179" t="s">
        <v>864</v>
      </c>
      <c r="D179" t="s">
        <v>865</v>
      </c>
      <c r="E179" s="1">
        <v>45225</v>
      </c>
      <c r="F179" t="s">
        <v>19</v>
      </c>
    </row>
    <row r="180" spans="1:6" x14ac:dyDescent="0.25">
      <c r="A180">
        <v>281</v>
      </c>
      <c r="B180" t="s">
        <v>843</v>
      </c>
      <c r="C180" t="s">
        <v>844</v>
      </c>
      <c r="D180" t="s">
        <v>845</v>
      </c>
      <c r="E180" s="1">
        <v>45018</v>
      </c>
      <c r="F180" t="s">
        <v>19</v>
      </c>
    </row>
    <row r="181" spans="1:6" x14ac:dyDescent="0.25">
      <c r="A181">
        <v>242</v>
      </c>
      <c r="B181" t="s">
        <v>458</v>
      </c>
      <c r="C181" t="s">
        <v>731</v>
      </c>
      <c r="D181" t="s">
        <v>732</v>
      </c>
      <c r="E181" s="1">
        <v>45181</v>
      </c>
      <c r="F181" t="s">
        <v>94</v>
      </c>
    </row>
    <row r="182" spans="1:6" x14ac:dyDescent="0.25">
      <c r="A182">
        <v>227</v>
      </c>
      <c r="B182" t="s">
        <v>686</v>
      </c>
      <c r="C182" t="s">
        <v>687</v>
      </c>
      <c r="D182" t="s">
        <v>688</v>
      </c>
      <c r="E182" s="1">
        <v>45077</v>
      </c>
      <c r="F182" t="s">
        <v>19</v>
      </c>
    </row>
    <row r="183" spans="1:6" x14ac:dyDescent="0.25">
      <c r="A183">
        <v>118</v>
      </c>
      <c r="B183" t="s">
        <v>362</v>
      </c>
      <c r="C183" t="s">
        <v>363</v>
      </c>
      <c r="D183" t="s">
        <v>364</v>
      </c>
      <c r="E183" s="1">
        <v>45137</v>
      </c>
      <c r="F183" t="s">
        <v>23</v>
      </c>
    </row>
    <row r="184" spans="1:6" x14ac:dyDescent="0.25">
      <c r="A184">
        <v>126</v>
      </c>
      <c r="B184" t="s">
        <v>386</v>
      </c>
      <c r="C184" t="s">
        <v>387</v>
      </c>
      <c r="D184" t="s">
        <v>388</v>
      </c>
      <c r="E184" s="1">
        <v>45127</v>
      </c>
      <c r="F184" t="s">
        <v>30</v>
      </c>
    </row>
    <row r="185" spans="1:6" x14ac:dyDescent="0.25">
      <c r="A185">
        <v>144</v>
      </c>
      <c r="B185" t="s">
        <v>440</v>
      </c>
      <c r="C185" t="s">
        <v>441</v>
      </c>
      <c r="D185" t="s">
        <v>442</v>
      </c>
      <c r="E185" s="1">
        <v>45093</v>
      </c>
      <c r="F185" t="s">
        <v>94</v>
      </c>
    </row>
    <row r="186" spans="1:6" x14ac:dyDescent="0.25">
      <c r="A186">
        <v>277</v>
      </c>
      <c r="B186" t="s">
        <v>648</v>
      </c>
      <c r="C186" t="s">
        <v>833</v>
      </c>
      <c r="D186" t="s">
        <v>834</v>
      </c>
      <c r="E186" s="1">
        <v>45125</v>
      </c>
      <c r="F186" t="s">
        <v>9</v>
      </c>
    </row>
    <row r="187" spans="1:6" x14ac:dyDescent="0.25">
      <c r="A187">
        <v>211</v>
      </c>
      <c r="B187" t="s">
        <v>639</v>
      </c>
      <c r="C187" t="s">
        <v>640</v>
      </c>
      <c r="D187" t="s">
        <v>641</v>
      </c>
      <c r="E187" s="1">
        <v>45177</v>
      </c>
      <c r="F187" t="s">
        <v>23</v>
      </c>
    </row>
    <row r="188" spans="1:6" x14ac:dyDescent="0.25">
      <c r="A188">
        <v>135</v>
      </c>
      <c r="B188" t="s">
        <v>413</v>
      </c>
      <c r="C188" t="s">
        <v>414</v>
      </c>
      <c r="D188" t="s">
        <v>415</v>
      </c>
      <c r="E188" s="1">
        <v>45245</v>
      </c>
      <c r="F188" t="s">
        <v>30</v>
      </c>
    </row>
    <row r="189" spans="1:6" x14ac:dyDescent="0.25">
      <c r="A189">
        <v>78</v>
      </c>
      <c r="B189" t="s">
        <v>243</v>
      </c>
      <c r="C189" t="s">
        <v>244</v>
      </c>
      <c r="D189" t="s">
        <v>245</v>
      </c>
      <c r="E189" s="1">
        <v>45194</v>
      </c>
      <c r="F189" t="s">
        <v>19</v>
      </c>
    </row>
    <row r="190" spans="1:6" x14ac:dyDescent="0.25">
      <c r="A190">
        <v>70</v>
      </c>
      <c r="B190" t="s">
        <v>219</v>
      </c>
      <c r="C190" t="s">
        <v>220</v>
      </c>
      <c r="D190" t="s">
        <v>221</v>
      </c>
      <c r="E190" s="1">
        <v>45126</v>
      </c>
      <c r="F190" t="s">
        <v>23</v>
      </c>
    </row>
    <row r="191" spans="1:6" x14ac:dyDescent="0.25">
      <c r="A191">
        <v>134</v>
      </c>
      <c r="B191" t="s">
        <v>410</v>
      </c>
      <c r="C191" t="s">
        <v>411</v>
      </c>
      <c r="D191" t="s">
        <v>412</v>
      </c>
      <c r="E191" s="1">
        <v>45141</v>
      </c>
      <c r="F191" t="s">
        <v>30</v>
      </c>
    </row>
    <row r="192" spans="1:6" x14ac:dyDescent="0.25">
      <c r="A192">
        <v>199</v>
      </c>
      <c r="B192" t="s">
        <v>604</v>
      </c>
      <c r="C192" t="s">
        <v>605</v>
      </c>
      <c r="D192" t="s">
        <v>606</v>
      </c>
      <c r="E192" s="1">
        <v>45243</v>
      </c>
      <c r="F192" t="s">
        <v>19</v>
      </c>
    </row>
    <row r="193" spans="1:6" x14ac:dyDescent="0.25">
      <c r="A193">
        <v>224</v>
      </c>
      <c r="B193" t="s">
        <v>677</v>
      </c>
      <c r="C193" t="s">
        <v>678</v>
      </c>
      <c r="D193" t="s">
        <v>679</v>
      </c>
      <c r="E193" s="1">
        <v>45194</v>
      </c>
      <c r="F193" t="s">
        <v>30</v>
      </c>
    </row>
    <row r="194" spans="1:6" x14ac:dyDescent="0.25">
      <c r="A194">
        <v>128</v>
      </c>
      <c r="B194" t="s">
        <v>392</v>
      </c>
      <c r="C194" t="s">
        <v>393</v>
      </c>
      <c r="D194" t="s">
        <v>394</v>
      </c>
      <c r="E194" s="1">
        <v>45262</v>
      </c>
      <c r="F194" t="s">
        <v>19</v>
      </c>
    </row>
    <row r="195" spans="1:6" x14ac:dyDescent="0.25">
      <c r="A195">
        <v>179</v>
      </c>
      <c r="B195" t="s">
        <v>545</v>
      </c>
      <c r="C195" t="s">
        <v>546</v>
      </c>
      <c r="D195" t="s">
        <v>547</v>
      </c>
      <c r="E195" s="1">
        <v>45132</v>
      </c>
      <c r="F195" t="s">
        <v>19</v>
      </c>
    </row>
    <row r="196" spans="1:6" x14ac:dyDescent="0.25">
      <c r="A196">
        <v>8</v>
      </c>
      <c r="B196" t="s">
        <v>31</v>
      </c>
      <c r="C196" t="s">
        <v>32</v>
      </c>
      <c r="D196" t="s">
        <v>33</v>
      </c>
      <c r="E196" s="1">
        <v>45059</v>
      </c>
      <c r="F196" t="s">
        <v>19</v>
      </c>
    </row>
    <row r="197" spans="1:6" x14ac:dyDescent="0.25">
      <c r="A197">
        <v>22</v>
      </c>
      <c r="B197" t="s">
        <v>73</v>
      </c>
      <c r="C197" t="s">
        <v>74</v>
      </c>
      <c r="D197" t="s">
        <v>75</v>
      </c>
      <c r="E197" s="1">
        <v>45195</v>
      </c>
      <c r="F197" t="s">
        <v>23</v>
      </c>
    </row>
    <row r="198" spans="1:6" x14ac:dyDescent="0.25">
      <c r="A198">
        <v>310</v>
      </c>
      <c r="B198" t="s">
        <v>929</v>
      </c>
      <c r="C198" t="s">
        <v>930</v>
      </c>
      <c r="D198" t="s">
        <v>931</v>
      </c>
      <c r="E198" s="1">
        <v>45239</v>
      </c>
      <c r="F198" t="s">
        <v>9</v>
      </c>
    </row>
    <row r="199" spans="1:6" x14ac:dyDescent="0.25">
      <c r="A199">
        <v>200</v>
      </c>
      <c r="B199" t="s">
        <v>607</v>
      </c>
      <c r="C199" t="s">
        <v>608</v>
      </c>
      <c r="D199" t="s">
        <v>609</v>
      </c>
      <c r="E199" s="1">
        <v>45177</v>
      </c>
      <c r="F199" t="s">
        <v>23</v>
      </c>
    </row>
    <row r="200" spans="1:6" x14ac:dyDescent="0.25">
      <c r="A200">
        <v>67</v>
      </c>
      <c r="B200" t="s">
        <v>210</v>
      </c>
      <c r="C200" t="s">
        <v>211</v>
      </c>
      <c r="D200" t="s">
        <v>212</v>
      </c>
      <c r="E200" s="1">
        <v>45279</v>
      </c>
      <c r="F200" t="s">
        <v>94</v>
      </c>
    </row>
    <row r="201" spans="1:6" x14ac:dyDescent="0.25">
      <c r="A201">
        <v>294</v>
      </c>
      <c r="B201" t="s">
        <v>881</v>
      </c>
      <c r="C201" t="s">
        <v>882</v>
      </c>
      <c r="D201" t="s">
        <v>883</v>
      </c>
      <c r="E201" s="1">
        <v>45287</v>
      </c>
      <c r="F201" t="s">
        <v>23</v>
      </c>
    </row>
    <row r="202" spans="1:6" x14ac:dyDescent="0.25">
      <c r="A202">
        <v>37</v>
      </c>
      <c r="B202" t="s">
        <v>120</v>
      </c>
      <c r="C202" t="s">
        <v>121</v>
      </c>
      <c r="D202" t="s">
        <v>122</v>
      </c>
      <c r="E202" s="1">
        <v>45234</v>
      </c>
      <c r="F202" t="s">
        <v>30</v>
      </c>
    </row>
    <row r="203" spans="1:6" x14ac:dyDescent="0.25">
      <c r="A203">
        <v>269</v>
      </c>
      <c r="B203" t="s">
        <v>811</v>
      </c>
      <c r="C203" t="s">
        <v>812</v>
      </c>
      <c r="D203" t="s">
        <v>813</v>
      </c>
      <c r="E203" s="1">
        <v>45184</v>
      </c>
      <c r="F203" t="s">
        <v>23</v>
      </c>
    </row>
    <row r="204" spans="1:6" x14ac:dyDescent="0.25">
      <c r="A204">
        <v>98</v>
      </c>
      <c r="B204" t="s">
        <v>302</v>
      </c>
      <c r="C204" t="s">
        <v>303</v>
      </c>
      <c r="D204" t="s">
        <v>304</v>
      </c>
      <c r="E204" s="1">
        <v>45250</v>
      </c>
      <c r="F204" t="s">
        <v>23</v>
      </c>
    </row>
    <row r="205" spans="1:6" x14ac:dyDescent="0.25">
      <c r="A205">
        <v>62</v>
      </c>
      <c r="B205" t="s">
        <v>195</v>
      </c>
      <c r="C205" t="s">
        <v>196</v>
      </c>
      <c r="D205" t="s">
        <v>197</v>
      </c>
      <c r="E205" s="1">
        <v>45183</v>
      </c>
      <c r="F205" t="s">
        <v>94</v>
      </c>
    </row>
    <row r="206" spans="1:6" x14ac:dyDescent="0.25">
      <c r="A206">
        <v>217</v>
      </c>
      <c r="B206" t="s">
        <v>657</v>
      </c>
      <c r="C206" t="s">
        <v>658</v>
      </c>
      <c r="D206" t="s">
        <v>659</v>
      </c>
      <c r="E206" s="1">
        <v>45177</v>
      </c>
      <c r="F206" t="s">
        <v>23</v>
      </c>
    </row>
    <row r="207" spans="1:6" x14ac:dyDescent="0.25">
      <c r="A207">
        <v>165</v>
      </c>
      <c r="B207" t="s">
        <v>503</v>
      </c>
      <c r="C207" t="s">
        <v>504</v>
      </c>
      <c r="D207" t="s">
        <v>505</v>
      </c>
      <c r="E207" s="1">
        <v>45067</v>
      </c>
      <c r="F207" t="s">
        <v>19</v>
      </c>
    </row>
    <row r="208" spans="1:6" x14ac:dyDescent="0.25">
      <c r="A208">
        <v>230</v>
      </c>
      <c r="B208" t="s">
        <v>695</v>
      </c>
      <c r="C208" t="s">
        <v>696</v>
      </c>
      <c r="D208" t="s">
        <v>697</v>
      </c>
      <c r="E208" s="1">
        <v>45288</v>
      </c>
      <c r="F208" t="s">
        <v>23</v>
      </c>
    </row>
    <row r="209" spans="1:6" x14ac:dyDescent="0.25">
      <c r="A209">
        <v>15</v>
      </c>
      <c r="B209" t="s">
        <v>52</v>
      </c>
      <c r="C209" t="s">
        <v>53</v>
      </c>
      <c r="D209" t="s">
        <v>54</v>
      </c>
      <c r="E209" s="1">
        <v>45289</v>
      </c>
      <c r="F209" t="s">
        <v>19</v>
      </c>
    </row>
    <row r="210" spans="1:6" x14ac:dyDescent="0.25">
      <c r="A210">
        <v>147</v>
      </c>
      <c r="B210" t="s">
        <v>449</v>
      </c>
      <c r="C210" t="s">
        <v>450</v>
      </c>
      <c r="D210" t="s">
        <v>451</v>
      </c>
      <c r="E210" s="1">
        <v>45244</v>
      </c>
      <c r="F210" t="s">
        <v>30</v>
      </c>
    </row>
    <row r="211" spans="1:6" x14ac:dyDescent="0.25">
      <c r="A211">
        <v>274</v>
      </c>
      <c r="B211" t="s">
        <v>825</v>
      </c>
      <c r="C211" t="s">
        <v>826</v>
      </c>
      <c r="D211" t="s">
        <v>827</v>
      </c>
      <c r="E211" s="1">
        <v>45115</v>
      </c>
      <c r="F211" t="s">
        <v>19</v>
      </c>
    </row>
    <row r="212" spans="1:6" x14ac:dyDescent="0.25">
      <c r="A212">
        <v>182</v>
      </c>
      <c r="B212" t="s">
        <v>554</v>
      </c>
      <c r="C212" t="s">
        <v>555</v>
      </c>
      <c r="D212" t="s">
        <v>556</v>
      </c>
      <c r="E212" s="1">
        <v>45170</v>
      </c>
      <c r="F212" t="s">
        <v>23</v>
      </c>
    </row>
    <row r="213" spans="1:6" x14ac:dyDescent="0.25">
      <c r="A213">
        <v>105</v>
      </c>
      <c r="B213" t="s">
        <v>323</v>
      </c>
      <c r="C213" t="s">
        <v>324</v>
      </c>
      <c r="D213" t="s">
        <v>325</v>
      </c>
      <c r="E213" s="1">
        <v>45081</v>
      </c>
      <c r="F213" t="s">
        <v>19</v>
      </c>
    </row>
    <row r="214" spans="1:6" x14ac:dyDescent="0.25">
      <c r="A214">
        <v>249</v>
      </c>
      <c r="B214" t="s">
        <v>751</v>
      </c>
      <c r="C214" t="s">
        <v>752</v>
      </c>
      <c r="D214" t="s">
        <v>753</v>
      </c>
      <c r="E214" s="1">
        <v>45140</v>
      </c>
      <c r="F214" t="s">
        <v>19</v>
      </c>
    </row>
    <row r="215" spans="1:6" x14ac:dyDescent="0.25">
      <c r="A215">
        <v>116</v>
      </c>
      <c r="B215" t="s">
        <v>356</v>
      </c>
      <c r="C215" t="s">
        <v>357</v>
      </c>
      <c r="D215" t="s">
        <v>358</v>
      </c>
      <c r="E215" s="1">
        <v>45121</v>
      </c>
      <c r="F215" t="s">
        <v>19</v>
      </c>
    </row>
    <row r="216" spans="1:6" x14ac:dyDescent="0.25">
      <c r="A216">
        <v>87</v>
      </c>
      <c r="B216" t="s">
        <v>270</v>
      </c>
      <c r="C216" t="s">
        <v>271</v>
      </c>
      <c r="D216" t="s">
        <v>272</v>
      </c>
      <c r="E216" s="1">
        <v>45160</v>
      </c>
      <c r="F216" t="s">
        <v>9</v>
      </c>
    </row>
    <row r="217" spans="1:6" x14ac:dyDescent="0.25">
      <c r="A217">
        <v>268</v>
      </c>
      <c r="B217" t="s">
        <v>808</v>
      </c>
      <c r="C217" t="s">
        <v>809</v>
      </c>
      <c r="D217" t="s">
        <v>810</v>
      </c>
      <c r="E217" s="1">
        <v>45053</v>
      </c>
      <c r="F217" t="s">
        <v>116</v>
      </c>
    </row>
    <row r="218" spans="1:6" x14ac:dyDescent="0.25">
      <c r="A218">
        <v>190</v>
      </c>
      <c r="B218" t="s">
        <v>577</v>
      </c>
      <c r="C218" t="s">
        <v>578</v>
      </c>
      <c r="D218" t="s">
        <v>579</v>
      </c>
      <c r="E218" s="1">
        <v>45006</v>
      </c>
      <c r="F218" t="s">
        <v>94</v>
      </c>
    </row>
    <row r="219" spans="1:6" x14ac:dyDescent="0.25">
      <c r="A219">
        <v>53</v>
      </c>
      <c r="B219" t="s">
        <v>168</v>
      </c>
      <c r="C219" t="s">
        <v>169</v>
      </c>
      <c r="D219" t="s">
        <v>170</v>
      </c>
      <c r="E219" s="1">
        <v>45141</v>
      </c>
      <c r="F219" t="s">
        <v>23</v>
      </c>
    </row>
    <row r="220" spans="1:6" x14ac:dyDescent="0.25">
      <c r="A220">
        <v>286</v>
      </c>
      <c r="B220" t="s">
        <v>857</v>
      </c>
      <c r="C220" t="s">
        <v>858</v>
      </c>
      <c r="D220" t="s">
        <v>859</v>
      </c>
      <c r="E220" s="1">
        <v>45206</v>
      </c>
      <c r="F220" t="s">
        <v>23</v>
      </c>
    </row>
    <row r="221" spans="1:6" x14ac:dyDescent="0.25">
      <c r="A221">
        <v>92</v>
      </c>
      <c r="B221" t="s">
        <v>285</v>
      </c>
      <c r="C221" t="s">
        <v>286</v>
      </c>
      <c r="D221" t="s">
        <v>287</v>
      </c>
      <c r="E221" s="1">
        <v>45204</v>
      </c>
      <c r="F221" t="s">
        <v>9</v>
      </c>
    </row>
    <row r="222" spans="1:6" x14ac:dyDescent="0.25">
      <c r="A222">
        <v>305</v>
      </c>
      <c r="B222" t="s">
        <v>914</v>
      </c>
      <c r="C222" t="s">
        <v>915</v>
      </c>
      <c r="D222" t="s">
        <v>916</v>
      </c>
      <c r="E222" s="1">
        <v>45050</v>
      </c>
      <c r="F222" t="s">
        <v>9</v>
      </c>
    </row>
    <row r="223" spans="1:6" x14ac:dyDescent="0.25">
      <c r="A223">
        <v>197</v>
      </c>
      <c r="B223" t="s">
        <v>598</v>
      </c>
      <c r="C223" t="s">
        <v>599</v>
      </c>
      <c r="D223" t="s">
        <v>600</v>
      </c>
      <c r="E223" s="1">
        <v>45245</v>
      </c>
      <c r="F223" t="s">
        <v>30</v>
      </c>
    </row>
    <row r="224" spans="1:6" x14ac:dyDescent="0.25">
      <c r="A224">
        <v>6</v>
      </c>
      <c r="B224" t="s">
        <v>24</v>
      </c>
      <c r="C224" t="s">
        <v>25</v>
      </c>
      <c r="D224" t="s">
        <v>26</v>
      </c>
      <c r="E224" s="1">
        <v>45084</v>
      </c>
      <c r="F224" t="s">
        <v>19</v>
      </c>
    </row>
    <row r="225" spans="1:6" x14ac:dyDescent="0.25">
      <c r="A225">
        <v>19</v>
      </c>
      <c r="B225" t="s">
        <v>64</v>
      </c>
      <c r="C225" t="s">
        <v>65</v>
      </c>
      <c r="D225" t="s">
        <v>66</v>
      </c>
      <c r="E225" s="1">
        <v>45243</v>
      </c>
      <c r="F225" t="s">
        <v>23</v>
      </c>
    </row>
    <row r="226" spans="1:6" x14ac:dyDescent="0.25">
      <c r="A226">
        <v>54</v>
      </c>
      <c r="B226" t="s">
        <v>171</v>
      </c>
      <c r="C226" t="s">
        <v>172</v>
      </c>
      <c r="D226" t="s">
        <v>173</v>
      </c>
      <c r="E226" s="1">
        <v>45156</v>
      </c>
      <c r="F226" t="s">
        <v>19</v>
      </c>
    </row>
    <row r="227" spans="1:6" x14ac:dyDescent="0.25">
      <c r="A227">
        <v>212</v>
      </c>
      <c r="B227" t="s">
        <v>642</v>
      </c>
      <c r="C227" t="s">
        <v>643</v>
      </c>
      <c r="D227" t="s">
        <v>644</v>
      </c>
      <c r="E227" s="1">
        <v>45212</v>
      </c>
      <c r="F227" t="s">
        <v>19</v>
      </c>
    </row>
    <row r="228" spans="1:6" x14ac:dyDescent="0.25">
      <c r="A228">
        <v>162</v>
      </c>
      <c r="B228" t="s">
        <v>494</v>
      </c>
      <c r="C228" t="s">
        <v>495</v>
      </c>
      <c r="D228" t="s">
        <v>496</v>
      </c>
      <c r="E228" s="1">
        <v>45222</v>
      </c>
      <c r="F228" t="s">
        <v>9</v>
      </c>
    </row>
    <row r="229" spans="1:6" x14ac:dyDescent="0.25">
      <c r="A229">
        <v>91</v>
      </c>
      <c r="B229" t="s">
        <v>282</v>
      </c>
      <c r="C229" t="s">
        <v>283</v>
      </c>
      <c r="D229" t="s">
        <v>284</v>
      </c>
      <c r="E229" s="1">
        <v>45062</v>
      </c>
      <c r="F229" t="s">
        <v>19</v>
      </c>
    </row>
    <row r="230" spans="1:6" x14ac:dyDescent="0.25">
      <c r="A230">
        <v>292</v>
      </c>
      <c r="B230" t="s">
        <v>875</v>
      </c>
      <c r="C230" t="s">
        <v>876</v>
      </c>
      <c r="D230" t="s">
        <v>877</v>
      </c>
      <c r="E230" s="1">
        <v>45072</v>
      </c>
      <c r="F230" t="s">
        <v>9</v>
      </c>
    </row>
    <row r="231" spans="1:6" x14ac:dyDescent="0.25">
      <c r="A231">
        <v>160</v>
      </c>
      <c r="B231" t="s">
        <v>488</v>
      </c>
      <c r="C231" t="s">
        <v>489</v>
      </c>
      <c r="D231" t="s">
        <v>490</v>
      </c>
      <c r="E231" s="1">
        <v>45266</v>
      </c>
      <c r="F231" t="s">
        <v>23</v>
      </c>
    </row>
    <row r="232" spans="1:6" x14ac:dyDescent="0.25">
      <c r="A232">
        <v>275</v>
      </c>
      <c r="B232" t="s">
        <v>828</v>
      </c>
      <c r="C232" t="s">
        <v>829</v>
      </c>
      <c r="D232" t="s">
        <v>830</v>
      </c>
      <c r="E232" s="1">
        <v>45030</v>
      </c>
      <c r="F232" t="s">
        <v>19</v>
      </c>
    </row>
    <row r="233" spans="1:6" x14ac:dyDescent="0.25">
      <c r="A233">
        <v>194</v>
      </c>
      <c r="B233" t="s">
        <v>589</v>
      </c>
      <c r="C233" t="s">
        <v>590</v>
      </c>
      <c r="D233" t="s">
        <v>591</v>
      </c>
      <c r="E233" s="1">
        <v>45219</v>
      </c>
      <c r="F233" t="s">
        <v>19</v>
      </c>
    </row>
    <row r="234" spans="1:6" x14ac:dyDescent="0.25">
      <c r="A234">
        <v>187</v>
      </c>
      <c r="B234" t="s">
        <v>288</v>
      </c>
      <c r="C234" t="s">
        <v>569</v>
      </c>
      <c r="D234" t="s">
        <v>570</v>
      </c>
      <c r="E234" s="1">
        <v>45257</v>
      </c>
      <c r="F234" t="s">
        <v>19</v>
      </c>
    </row>
    <row r="235" spans="1:6" x14ac:dyDescent="0.25">
      <c r="A235">
        <v>307</v>
      </c>
      <c r="B235" t="s">
        <v>920</v>
      </c>
      <c r="C235" t="s">
        <v>921</v>
      </c>
      <c r="D235" t="s">
        <v>922</v>
      </c>
      <c r="E235" s="1">
        <v>45017</v>
      </c>
      <c r="F235" t="s">
        <v>30</v>
      </c>
    </row>
    <row r="236" spans="1:6" x14ac:dyDescent="0.25">
      <c r="A236">
        <v>317</v>
      </c>
      <c r="B236" t="s">
        <v>949</v>
      </c>
      <c r="C236" t="s">
        <v>950</v>
      </c>
      <c r="D236" t="s">
        <v>951</v>
      </c>
      <c r="E236" s="1">
        <v>45078</v>
      </c>
      <c r="F236" t="s">
        <v>94</v>
      </c>
    </row>
    <row r="237" spans="1:6" x14ac:dyDescent="0.25">
      <c r="A237">
        <v>256</v>
      </c>
      <c r="B237" t="s">
        <v>772</v>
      </c>
      <c r="C237" t="s">
        <v>773</v>
      </c>
      <c r="D237" t="s">
        <v>774</v>
      </c>
      <c r="E237" s="1">
        <v>45277</v>
      </c>
      <c r="F237" t="s">
        <v>19</v>
      </c>
    </row>
    <row r="238" spans="1:6" x14ac:dyDescent="0.25">
      <c r="A238">
        <v>151</v>
      </c>
      <c r="B238" t="s">
        <v>461</v>
      </c>
      <c r="C238" t="s">
        <v>462</v>
      </c>
      <c r="D238" t="s">
        <v>463</v>
      </c>
      <c r="E238" s="1">
        <v>45163</v>
      </c>
      <c r="F238" t="s">
        <v>19</v>
      </c>
    </row>
    <row r="239" spans="1:6" x14ac:dyDescent="0.25">
      <c r="A239">
        <v>270</v>
      </c>
      <c r="B239" t="s">
        <v>814</v>
      </c>
      <c r="C239" t="s">
        <v>815</v>
      </c>
      <c r="D239" t="s">
        <v>816</v>
      </c>
      <c r="E239" s="1">
        <v>45242</v>
      </c>
      <c r="F239" t="s">
        <v>30</v>
      </c>
    </row>
    <row r="240" spans="1:6" x14ac:dyDescent="0.25">
      <c r="A240">
        <v>302</v>
      </c>
      <c r="B240" t="s">
        <v>905</v>
      </c>
      <c r="C240" t="s">
        <v>906</v>
      </c>
      <c r="D240" t="s">
        <v>907</v>
      </c>
      <c r="E240" s="1">
        <v>45131</v>
      </c>
      <c r="F240" t="s">
        <v>9</v>
      </c>
    </row>
    <row r="241" spans="1:6" x14ac:dyDescent="0.25">
      <c r="A241">
        <v>148</v>
      </c>
      <c r="B241" t="s">
        <v>452</v>
      </c>
      <c r="C241" t="s">
        <v>453</v>
      </c>
      <c r="D241" t="s">
        <v>454</v>
      </c>
      <c r="E241" s="1">
        <v>45004</v>
      </c>
      <c r="F241" t="s">
        <v>23</v>
      </c>
    </row>
    <row r="242" spans="1:6" x14ac:dyDescent="0.25">
      <c r="A242">
        <v>218</v>
      </c>
      <c r="B242" t="s">
        <v>660</v>
      </c>
      <c r="C242" t="s">
        <v>661</v>
      </c>
      <c r="D242" t="s">
        <v>662</v>
      </c>
      <c r="E242" s="1">
        <v>45222</v>
      </c>
      <c r="F242" t="s">
        <v>23</v>
      </c>
    </row>
    <row r="243" spans="1:6" x14ac:dyDescent="0.25">
      <c r="A243">
        <v>94</v>
      </c>
      <c r="B243" t="s">
        <v>291</v>
      </c>
      <c r="C243" t="s">
        <v>292</v>
      </c>
      <c r="D243" t="s">
        <v>293</v>
      </c>
      <c r="E243" s="1">
        <v>45197</v>
      </c>
      <c r="F243" t="s">
        <v>23</v>
      </c>
    </row>
    <row r="244" spans="1:6" x14ac:dyDescent="0.25">
      <c r="A244">
        <v>280</v>
      </c>
      <c r="B244" t="s">
        <v>840</v>
      </c>
      <c r="C244" t="s">
        <v>841</v>
      </c>
      <c r="D244" t="s">
        <v>842</v>
      </c>
      <c r="E244" s="1">
        <v>45271</v>
      </c>
      <c r="F244" t="s">
        <v>23</v>
      </c>
    </row>
    <row r="245" spans="1:6" x14ac:dyDescent="0.25">
      <c r="A245">
        <v>295</v>
      </c>
      <c r="B245" t="s">
        <v>884</v>
      </c>
      <c r="C245" t="s">
        <v>885</v>
      </c>
      <c r="D245" t="s">
        <v>886</v>
      </c>
      <c r="E245" s="1">
        <v>45201</v>
      </c>
      <c r="F245" t="s">
        <v>30</v>
      </c>
    </row>
    <row r="246" spans="1:6" x14ac:dyDescent="0.25">
      <c r="A246">
        <v>68</v>
      </c>
      <c r="B246" t="s">
        <v>213</v>
      </c>
      <c r="C246" t="s">
        <v>214</v>
      </c>
      <c r="D246" t="s">
        <v>215</v>
      </c>
      <c r="E246" s="1">
        <v>45127</v>
      </c>
      <c r="F246" t="s">
        <v>9</v>
      </c>
    </row>
    <row r="247" spans="1:6" x14ac:dyDescent="0.25">
      <c r="A247">
        <v>291</v>
      </c>
      <c r="B247" t="s">
        <v>872</v>
      </c>
      <c r="C247" t="s">
        <v>873</v>
      </c>
      <c r="D247" t="s">
        <v>874</v>
      </c>
      <c r="E247" s="1">
        <v>45235</v>
      </c>
      <c r="F247" t="s">
        <v>94</v>
      </c>
    </row>
    <row r="248" spans="1:6" x14ac:dyDescent="0.25">
      <c r="A248">
        <v>264</v>
      </c>
      <c r="B248" t="s">
        <v>796</v>
      </c>
      <c r="C248" t="s">
        <v>797</v>
      </c>
      <c r="D248" t="s">
        <v>798</v>
      </c>
      <c r="E248" s="1">
        <v>45035</v>
      </c>
      <c r="F248" t="s">
        <v>19</v>
      </c>
    </row>
    <row r="249" spans="1:6" x14ac:dyDescent="0.25">
      <c r="A249">
        <v>77</v>
      </c>
      <c r="B249" t="s">
        <v>240</v>
      </c>
      <c r="C249" t="s">
        <v>241</v>
      </c>
      <c r="D249" t="s">
        <v>242</v>
      </c>
      <c r="E249" s="1">
        <v>45228</v>
      </c>
      <c r="F249" t="s">
        <v>19</v>
      </c>
    </row>
    <row r="250" spans="1:6" x14ac:dyDescent="0.25">
      <c r="A250">
        <v>97</v>
      </c>
      <c r="B250" t="s">
        <v>300</v>
      </c>
      <c r="C250" t="s">
        <v>16</v>
      </c>
      <c r="D250" t="s">
        <v>301</v>
      </c>
      <c r="E250" s="1">
        <v>45020</v>
      </c>
      <c r="F250" t="s">
        <v>19</v>
      </c>
    </row>
    <row r="251" spans="1:6" x14ac:dyDescent="0.25">
      <c r="A251">
        <v>170</v>
      </c>
      <c r="B251" t="s">
        <v>518</v>
      </c>
      <c r="C251" t="s">
        <v>519</v>
      </c>
      <c r="D251" t="s">
        <v>520</v>
      </c>
      <c r="E251" s="1">
        <v>45193</v>
      </c>
      <c r="F251" t="s">
        <v>23</v>
      </c>
    </row>
    <row r="252" spans="1:6" x14ac:dyDescent="0.25">
      <c r="A252">
        <v>178</v>
      </c>
      <c r="B252" t="s">
        <v>542</v>
      </c>
      <c r="C252" t="s">
        <v>543</v>
      </c>
      <c r="D252" t="s">
        <v>544</v>
      </c>
      <c r="E252" s="1">
        <v>45186</v>
      </c>
      <c r="F252" t="s">
        <v>9</v>
      </c>
    </row>
    <row r="253" spans="1:6" x14ac:dyDescent="0.25">
      <c r="A253">
        <v>237</v>
      </c>
      <c r="B253" t="s">
        <v>716</v>
      </c>
      <c r="C253" t="s">
        <v>717</v>
      </c>
      <c r="D253" t="s">
        <v>718</v>
      </c>
      <c r="E253" s="1">
        <v>45056</v>
      </c>
      <c r="F253" t="s">
        <v>19</v>
      </c>
    </row>
    <row r="254" spans="1:6" x14ac:dyDescent="0.25">
      <c r="A254">
        <v>285</v>
      </c>
      <c r="B254" t="s">
        <v>854</v>
      </c>
      <c r="C254" t="s">
        <v>855</v>
      </c>
      <c r="D254" t="s">
        <v>856</v>
      </c>
      <c r="E254" s="1">
        <v>45150</v>
      </c>
      <c r="F254" t="s">
        <v>9</v>
      </c>
    </row>
    <row r="255" spans="1:6" x14ac:dyDescent="0.25">
      <c r="A255">
        <v>39</v>
      </c>
      <c r="B255" t="s">
        <v>126</v>
      </c>
      <c r="C255" t="s">
        <v>127</v>
      </c>
      <c r="D255" t="s">
        <v>128</v>
      </c>
      <c r="E255" s="1">
        <v>45211</v>
      </c>
      <c r="F255" t="s">
        <v>9</v>
      </c>
    </row>
    <row r="256" spans="1:6" x14ac:dyDescent="0.25">
      <c r="A256">
        <v>73</v>
      </c>
      <c r="B256" t="s">
        <v>228</v>
      </c>
      <c r="C256" t="s">
        <v>229</v>
      </c>
      <c r="D256" t="s">
        <v>230</v>
      </c>
      <c r="E256" s="1">
        <v>45005</v>
      </c>
      <c r="F256" t="s">
        <v>23</v>
      </c>
    </row>
    <row r="257" spans="1:6" x14ac:dyDescent="0.25">
      <c r="A257">
        <v>1</v>
      </c>
      <c r="B257" t="s">
        <v>6</v>
      </c>
      <c r="C257" t="s">
        <v>7</v>
      </c>
      <c r="D257" t="s">
        <v>8</v>
      </c>
      <c r="E257" s="1">
        <v>45249</v>
      </c>
      <c r="F257" t="s">
        <v>9</v>
      </c>
    </row>
    <row r="258" spans="1:6" x14ac:dyDescent="0.25">
      <c r="A258">
        <v>66</v>
      </c>
      <c r="B258" t="s">
        <v>207</v>
      </c>
      <c r="C258" t="s">
        <v>208</v>
      </c>
      <c r="D258" t="s">
        <v>209</v>
      </c>
      <c r="E258" s="1">
        <v>45009</v>
      </c>
      <c r="F258" t="s">
        <v>19</v>
      </c>
    </row>
    <row r="259" spans="1:6" x14ac:dyDescent="0.25">
      <c r="A259">
        <v>319</v>
      </c>
      <c r="B259" t="s">
        <v>955</v>
      </c>
      <c r="C259" t="s">
        <v>956</v>
      </c>
      <c r="D259" t="s">
        <v>957</v>
      </c>
      <c r="E259" s="1">
        <v>45056</v>
      </c>
      <c r="F259" t="s">
        <v>9</v>
      </c>
    </row>
    <row r="260" spans="1:6" x14ac:dyDescent="0.25">
      <c r="A260">
        <v>248</v>
      </c>
      <c r="B260" t="s">
        <v>748</v>
      </c>
      <c r="C260" t="s">
        <v>749</v>
      </c>
      <c r="D260" t="s">
        <v>750</v>
      </c>
      <c r="E260" s="1">
        <v>45110</v>
      </c>
      <c r="F260" t="s">
        <v>23</v>
      </c>
    </row>
    <row r="261" spans="1:6" x14ac:dyDescent="0.25">
      <c r="A261">
        <v>315</v>
      </c>
      <c r="B261" t="s">
        <v>943</v>
      </c>
      <c r="C261" t="s">
        <v>944</v>
      </c>
      <c r="D261" t="s">
        <v>945</v>
      </c>
      <c r="E261" s="1">
        <v>45095</v>
      </c>
      <c r="F261" t="s">
        <v>19</v>
      </c>
    </row>
    <row r="262" spans="1:6" x14ac:dyDescent="0.25">
      <c r="A262">
        <v>282</v>
      </c>
      <c r="B262" t="s">
        <v>846</v>
      </c>
      <c r="C262" t="s">
        <v>847</v>
      </c>
      <c r="D262" t="s">
        <v>848</v>
      </c>
      <c r="E262" s="1">
        <v>45087</v>
      </c>
      <c r="F262" t="s">
        <v>23</v>
      </c>
    </row>
    <row r="263" spans="1:6" x14ac:dyDescent="0.25">
      <c r="A263">
        <v>40</v>
      </c>
      <c r="B263" t="s">
        <v>129</v>
      </c>
      <c r="C263" t="s">
        <v>130</v>
      </c>
      <c r="D263" t="s">
        <v>131</v>
      </c>
      <c r="E263" s="1">
        <v>45029</v>
      </c>
      <c r="F263" t="s">
        <v>30</v>
      </c>
    </row>
    <row r="264" spans="1:6" x14ac:dyDescent="0.25">
      <c r="A264">
        <v>241</v>
      </c>
      <c r="B264" t="s">
        <v>728</v>
      </c>
      <c r="C264" t="s">
        <v>729</v>
      </c>
      <c r="D264" t="s">
        <v>730</v>
      </c>
      <c r="E264" s="1">
        <v>45088</v>
      </c>
      <c r="F264" t="s">
        <v>19</v>
      </c>
    </row>
    <row r="265" spans="1:6" x14ac:dyDescent="0.25">
      <c r="A265">
        <v>132</v>
      </c>
      <c r="B265" t="s">
        <v>404</v>
      </c>
      <c r="C265" t="s">
        <v>405</v>
      </c>
      <c r="D265" t="s">
        <v>406</v>
      </c>
      <c r="E265" s="1">
        <v>45274</v>
      </c>
      <c r="F265" t="s">
        <v>19</v>
      </c>
    </row>
    <row r="266" spans="1:6" x14ac:dyDescent="0.25">
      <c r="A266">
        <v>50</v>
      </c>
      <c r="B266" t="s">
        <v>159</v>
      </c>
      <c r="C266" t="s">
        <v>160</v>
      </c>
      <c r="D266" t="s">
        <v>161</v>
      </c>
      <c r="E266" s="1">
        <v>45190</v>
      </c>
      <c r="F266" t="s">
        <v>19</v>
      </c>
    </row>
    <row r="267" spans="1:6" x14ac:dyDescent="0.25">
      <c r="A267">
        <v>106</v>
      </c>
      <c r="B267" t="s">
        <v>326</v>
      </c>
      <c r="C267" t="s">
        <v>327</v>
      </c>
      <c r="D267" t="s">
        <v>328</v>
      </c>
      <c r="E267" s="1">
        <v>45100</v>
      </c>
      <c r="F267" t="s">
        <v>94</v>
      </c>
    </row>
    <row r="268" spans="1:6" x14ac:dyDescent="0.25">
      <c r="A268">
        <v>64</v>
      </c>
      <c r="B268" t="s">
        <v>201</v>
      </c>
      <c r="C268" t="s">
        <v>202</v>
      </c>
      <c r="D268" t="s">
        <v>203</v>
      </c>
      <c r="E268" s="1">
        <v>45217</v>
      </c>
      <c r="F268" t="s">
        <v>94</v>
      </c>
    </row>
    <row r="269" spans="1:6" x14ac:dyDescent="0.25">
      <c r="A269">
        <v>79</v>
      </c>
      <c r="B269" t="s">
        <v>246</v>
      </c>
      <c r="C269" t="s">
        <v>247</v>
      </c>
      <c r="D269" t="s">
        <v>248</v>
      </c>
      <c r="E269" s="1">
        <v>45118</v>
      </c>
      <c r="F269" t="s">
        <v>9</v>
      </c>
    </row>
    <row r="270" spans="1:6" x14ac:dyDescent="0.25">
      <c r="A270">
        <v>184</v>
      </c>
      <c r="B270" t="s">
        <v>560</v>
      </c>
      <c r="C270" t="s">
        <v>561</v>
      </c>
      <c r="D270" t="s">
        <v>562</v>
      </c>
      <c r="E270" s="1">
        <v>45253</v>
      </c>
      <c r="F270" t="s">
        <v>19</v>
      </c>
    </row>
    <row r="271" spans="1:6" x14ac:dyDescent="0.25">
      <c r="A271">
        <v>219</v>
      </c>
      <c r="B271" t="s">
        <v>663</v>
      </c>
      <c r="C271" t="s">
        <v>664</v>
      </c>
      <c r="D271" t="s">
        <v>665</v>
      </c>
      <c r="E271" s="1">
        <v>45043</v>
      </c>
      <c r="F271" t="s">
        <v>9</v>
      </c>
    </row>
    <row r="272" spans="1:6" x14ac:dyDescent="0.25">
      <c r="A272">
        <v>103</v>
      </c>
      <c r="B272" t="s">
        <v>317</v>
      </c>
      <c r="C272" t="s">
        <v>318</v>
      </c>
      <c r="D272" t="s">
        <v>319</v>
      </c>
      <c r="E272" s="1">
        <v>45185</v>
      </c>
      <c r="F272" t="s">
        <v>9</v>
      </c>
    </row>
    <row r="273" spans="1:6" x14ac:dyDescent="0.25">
      <c r="A273">
        <v>201</v>
      </c>
      <c r="B273" t="s">
        <v>610</v>
      </c>
      <c r="C273" t="s">
        <v>611</v>
      </c>
      <c r="D273" t="s">
        <v>612</v>
      </c>
      <c r="E273" s="1">
        <v>45264</v>
      </c>
      <c r="F273" t="s">
        <v>9</v>
      </c>
    </row>
    <row r="274" spans="1:6" x14ac:dyDescent="0.25">
      <c r="A274">
        <v>252</v>
      </c>
      <c r="B274" t="s">
        <v>760</v>
      </c>
      <c r="C274" t="s">
        <v>761</v>
      </c>
      <c r="D274" t="s">
        <v>762</v>
      </c>
      <c r="E274" s="1">
        <v>45231</v>
      </c>
      <c r="F274" t="s">
        <v>9</v>
      </c>
    </row>
    <row r="275" spans="1:6" x14ac:dyDescent="0.25">
      <c r="A275">
        <v>231</v>
      </c>
      <c r="B275" t="s">
        <v>698</v>
      </c>
      <c r="C275" t="s">
        <v>699</v>
      </c>
      <c r="D275" t="s">
        <v>700</v>
      </c>
      <c r="E275" s="1">
        <v>45273</v>
      </c>
      <c r="F275" t="s">
        <v>9</v>
      </c>
    </row>
    <row r="276" spans="1:6" x14ac:dyDescent="0.25">
      <c r="A276">
        <v>318</v>
      </c>
      <c r="B276" t="s">
        <v>952</v>
      </c>
      <c r="C276" t="s">
        <v>953</v>
      </c>
      <c r="D276" t="s">
        <v>954</v>
      </c>
      <c r="E276" s="1">
        <v>45016</v>
      </c>
      <c r="F276" t="s">
        <v>19</v>
      </c>
    </row>
    <row r="277" spans="1:6" x14ac:dyDescent="0.25">
      <c r="A277">
        <v>273</v>
      </c>
      <c r="B277" t="s">
        <v>822</v>
      </c>
      <c r="C277" t="s">
        <v>823</v>
      </c>
      <c r="D277" t="s">
        <v>824</v>
      </c>
      <c r="E277" s="1">
        <v>45123</v>
      </c>
      <c r="F277" t="s">
        <v>30</v>
      </c>
    </row>
    <row r="278" spans="1:6" x14ac:dyDescent="0.25">
      <c r="A278">
        <v>195</v>
      </c>
      <c r="B278" t="s">
        <v>592</v>
      </c>
      <c r="C278" t="s">
        <v>593</v>
      </c>
      <c r="D278" t="s">
        <v>594</v>
      </c>
      <c r="E278" s="1">
        <v>45217</v>
      </c>
      <c r="F278" t="s">
        <v>23</v>
      </c>
    </row>
    <row r="279" spans="1:6" x14ac:dyDescent="0.25">
      <c r="A279">
        <v>146</v>
      </c>
      <c r="B279" t="s">
        <v>446</v>
      </c>
      <c r="C279" t="s">
        <v>447</v>
      </c>
      <c r="D279" t="s">
        <v>448</v>
      </c>
      <c r="E279" s="1">
        <v>45234</v>
      </c>
      <c r="F279" t="s">
        <v>30</v>
      </c>
    </row>
    <row r="280" spans="1:6" x14ac:dyDescent="0.25">
      <c r="A280">
        <v>5</v>
      </c>
      <c r="B280" t="s">
        <v>20</v>
      </c>
      <c r="C280" t="s">
        <v>21</v>
      </c>
      <c r="D280" t="s">
        <v>22</v>
      </c>
      <c r="E280" s="1">
        <v>45016</v>
      </c>
      <c r="F280" t="s">
        <v>23</v>
      </c>
    </row>
    <row r="281" spans="1:6" x14ac:dyDescent="0.25">
      <c r="A281">
        <v>188</v>
      </c>
      <c r="B281" t="s">
        <v>571</v>
      </c>
      <c r="C281" t="s">
        <v>572</v>
      </c>
      <c r="D281" t="s">
        <v>573</v>
      </c>
      <c r="E281" s="1">
        <v>45025</v>
      </c>
      <c r="F281" t="s">
        <v>30</v>
      </c>
    </row>
    <row r="282" spans="1:6" x14ac:dyDescent="0.25">
      <c r="A282">
        <v>220</v>
      </c>
      <c r="B282" t="s">
        <v>666</v>
      </c>
      <c r="C282" t="s">
        <v>667</v>
      </c>
      <c r="D282" t="s">
        <v>668</v>
      </c>
      <c r="E282" s="1">
        <v>45075</v>
      </c>
      <c r="F282" t="s">
        <v>23</v>
      </c>
    </row>
    <row r="283" spans="1:6" x14ac:dyDescent="0.25">
      <c r="A283">
        <v>320</v>
      </c>
      <c r="B283" t="s">
        <v>958</v>
      </c>
      <c r="C283" t="s">
        <v>959</v>
      </c>
      <c r="D283" t="s">
        <v>960</v>
      </c>
      <c r="E283" s="1">
        <v>45238</v>
      </c>
      <c r="F283" t="s">
        <v>23</v>
      </c>
    </row>
    <row r="284" spans="1:6" x14ac:dyDescent="0.25">
      <c r="A284">
        <v>247</v>
      </c>
      <c r="B284" t="s">
        <v>745</v>
      </c>
      <c r="C284" t="s">
        <v>746</v>
      </c>
      <c r="D284" t="s">
        <v>747</v>
      </c>
      <c r="E284" s="1">
        <v>45126</v>
      </c>
      <c r="F284" t="s">
        <v>19</v>
      </c>
    </row>
    <row r="285" spans="1:6" x14ac:dyDescent="0.25">
      <c r="A285">
        <v>30</v>
      </c>
      <c r="B285" t="s">
        <v>98</v>
      </c>
      <c r="C285" t="s">
        <v>99</v>
      </c>
      <c r="D285" t="s">
        <v>100</v>
      </c>
      <c r="E285" s="1">
        <v>45092</v>
      </c>
      <c r="F285" t="s">
        <v>19</v>
      </c>
    </row>
    <row r="286" spans="1:6" x14ac:dyDescent="0.25">
      <c r="A286">
        <v>263</v>
      </c>
      <c r="B286" t="s">
        <v>793</v>
      </c>
      <c r="C286" t="s">
        <v>794</v>
      </c>
      <c r="D286" t="s">
        <v>795</v>
      </c>
      <c r="E286" s="1">
        <v>45014</v>
      </c>
      <c r="F286" t="s">
        <v>19</v>
      </c>
    </row>
    <row r="287" spans="1:6" x14ac:dyDescent="0.25">
      <c r="A287">
        <v>28</v>
      </c>
      <c r="B287" t="s">
        <v>91</v>
      </c>
      <c r="C287" t="s">
        <v>92</v>
      </c>
      <c r="D287" t="s">
        <v>93</v>
      </c>
      <c r="E287" s="1">
        <v>45255</v>
      </c>
      <c r="F287" t="s">
        <v>94</v>
      </c>
    </row>
    <row r="288" spans="1:6" x14ac:dyDescent="0.25">
      <c r="A288">
        <v>43</v>
      </c>
      <c r="B288" t="s">
        <v>138</v>
      </c>
      <c r="C288" t="s">
        <v>139</v>
      </c>
      <c r="D288" t="s">
        <v>140</v>
      </c>
      <c r="E288" s="1">
        <v>45196</v>
      </c>
      <c r="F288" t="s">
        <v>9</v>
      </c>
    </row>
    <row r="289" spans="1:6" x14ac:dyDescent="0.25">
      <c r="A289">
        <v>298</v>
      </c>
      <c r="B289" t="s">
        <v>893</v>
      </c>
      <c r="C289" t="s">
        <v>894</v>
      </c>
      <c r="D289" t="s">
        <v>895</v>
      </c>
      <c r="E289" s="1">
        <v>45131</v>
      </c>
      <c r="F289" t="s">
        <v>19</v>
      </c>
    </row>
    <row r="290" spans="1:6" x14ac:dyDescent="0.25">
      <c r="A290">
        <v>235</v>
      </c>
      <c r="B290" t="s">
        <v>710</v>
      </c>
      <c r="C290" t="s">
        <v>711</v>
      </c>
      <c r="D290" t="s">
        <v>712</v>
      </c>
      <c r="E290" s="1">
        <v>45271</v>
      </c>
      <c r="F290" t="s">
        <v>94</v>
      </c>
    </row>
    <row r="291" spans="1:6" x14ac:dyDescent="0.25">
      <c r="A291">
        <v>63</v>
      </c>
      <c r="B291" t="s">
        <v>198</v>
      </c>
      <c r="C291" t="s">
        <v>199</v>
      </c>
      <c r="D291" t="s">
        <v>200</v>
      </c>
      <c r="E291" s="1">
        <v>45260</v>
      </c>
      <c r="F291" t="s">
        <v>19</v>
      </c>
    </row>
    <row r="292" spans="1:6" x14ac:dyDescent="0.25">
      <c r="A292">
        <v>88</v>
      </c>
      <c r="B292" t="s">
        <v>273</v>
      </c>
      <c r="C292" t="s">
        <v>274</v>
      </c>
      <c r="D292" t="s">
        <v>275</v>
      </c>
      <c r="E292" s="1">
        <v>45266</v>
      </c>
      <c r="F292" t="s">
        <v>9</v>
      </c>
    </row>
    <row r="293" spans="1:6" x14ac:dyDescent="0.25">
      <c r="A293">
        <v>296</v>
      </c>
      <c r="B293" t="s">
        <v>887</v>
      </c>
      <c r="C293" t="s">
        <v>888</v>
      </c>
      <c r="D293" t="s">
        <v>889</v>
      </c>
      <c r="E293" s="1">
        <v>45135</v>
      </c>
      <c r="F293" t="s">
        <v>19</v>
      </c>
    </row>
    <row r="294" spans="1:6" x14ac:dyDescent="0.25">
      <c r="A294">
        <v>121</v>
      </c>
      <c r="B294" t="s">
        <v>371</v>
      </c>
      <c r="C294" t="s">
        <v>372</v>
      </c>
      <c r="D294" t="s">
        <v>373</v>
      </c>
      <c r="E294" s="1">
        <v>45187</v>
      </c>
      <c r="F294" t="s">
        <v>30</v>
      </c>
    </row>
    <row r="295" spans="1:6" x14ac:dyDescent="0.25">
      <c r="A295">
        <v>14</v>
      </c>
      <c r="B295" t="s">
        <v>49</v>
      </c>
      <c r="C295" t="s">
        <v>50</v>
      </c>
      <c r="D295" t="s">
        <v>51</v>
      </c>
      <c r="E295" s="1">
        <v>45047</v>
      </c>
      <c r="F295" t="s">
        <v>19</v>
      </c>
    </row>
    <row r="296" spans="1:6" x14ac:dyDescent="0.25">
      <c r="A296">
        <v>145</v>
      </c>
      <c r="B296" t="s">
        <v>443</v>
      </c>
      <c r="C296" t="s">
        <v>444</v>
      </c>
      <c r="D296" t="s">
        <v>445</v>
      </c>
      <c r="E296" s="1">
        <v>45024</v>
      </c>
      <c r="F296" t="s">
        <v>19</v>
      </c>
    </row>
    <row r="297" spans="1:6" x14ac:dyDescent="0.25">
      <c r="A297">
        <v>24</v>
      </c>
      <c r="B297" t="s">
        <v>79</v>
      </c>
      <c r="C297" t="s">
        <v>80</v>
      </c>
      <c r="D297" t="s">
        <v>81</v>
      </c>
      <c r="E297" s="1">
        <v>45130</v>
      </c>
      <c r="F297" t="s">
        <v>30</v>
      </c>
    </row>
    <row r="298" spans="1:6" x14ac:dyDescent="0.25">
      <c r="A298">
        <v>234</v>
      </c>
      <c r="B298" t="s">
        <v>707</v>
      </c>
      <c r="C298" t="s">
        <v>708</v>
      </c>
      <c r="D298" t="s">
        <v>709</v>
      </c>
      <c r="E298" s="1">
        <v>45199</v>
      </c>
      <c r="F298" t="s">
        <v>19</v>
      </c>
    </row>
    <row r="299" spans="1:6" x14ac:dyDescent="0.25">
      <c r="A299">
        <v>36</v>
      </c>
      <c r="B299" t="s">
        <v>117</v>
      </c>
      <c r="C299" t="s">
        <v>118</v>
      </c>
      <c r="D299" t="s">
        <v>119</v>
      </c>
      <c r="E299" s="1">
        <v>45230</v>
      </c>
      <c r="F299" t="s">
        <v>19</v>
      </c>
    </row>
    <row r="300" spans="1:6" x14ac:dyDescent="0.25">
      <c r="A300">
        <v>71</v>
      </c>
      <c r="B300" t="s">
        <v>222</v>
      </c>
      <c r="C300" t="s">
        <v>223</v>
      </c>
      <c r="D300" t="s">
        <v>224</v>
      </c>
      <c r="E300" s="1">
        <v>45048</v>
      </c>
      <c r="F300" t="s">
        <v>19</v>
      </c>
    </row>
    <row r="301" spans="1:6" x14ac:dyDescent="0.25">
      <c r="A301">
        <v>180</v>
      </c>
      <c r="B301" t="s">
        <v>548</v>
      </c>
      <c r="C301" t="s">
        <v>549</v>
      </c>
      <c r="D301" t="s">
        <v>550</v>
      </c>
      <c r="E301" s="1">
        <v>45049</v>
      </c>
      <c r="F301" t="s">
        <v>19</v>
      </c>
    </row>
    <row r="302" spans="1:6" x14ac:dyDescent="0.25">
      <c r="A302">
        <v>9</v>
      </c>
      <c r="B302" t="s">
        <v>34</v>
      </c>
      <c r="C302" t="s">
        <v>35</v>
      </c>
      <c r="D302" t="s">
        <v>36</v>
      </c>
      <c r="E302" s="1">
        <v>45018</v>
      </c>
      <c r="F302" t="s">
        <v>23</v>
      </c>
    </row>
    <row r="303" spans="1:6" x14ac:dyDescent="0.25">
      <c r="A303">
        <v>76</v>
      </c>
      <c r="B303" t="s">
        <v>237</v>
      </c>
      <c r="C303" t="s">
        <v>238</v>
      </c>
      <c r="D303" t="s">
        <v>239</v>
      </c>
      <c r="E303" s="1">
        <v>45119</v>
      </c>
      <c r="F303" t="s">
        <v>23</v>
      </c>
    </row>
    <row r="304" spans="1:6" x14ac:dyDescent="0.25">
      <c r="A304">
        <v>226</v>
      </c>
      <c r="B304" t="s">
        <v>683</v>
      </c>
      <c r="C304" t="s">
        <v>684</v>
      </c>
      <c r="D304" t="s">
        <v>685</v>
      </c>
      <c r="E304" s="1">
        <v>45256</v>
      </c>
      <c r="F304" t="s">
        <v>9</v>
      </c>
    </row>
    <row r="305" spans="1:6" x14ac:dyDescent="0.25">
      <c r="A305">
        <v>75</v>
      </c>
      <c r="B305" t="s">
        <v>234</v>
      </c>
      <c r="C305" t="s">
        <v>235</v>
      </c>
      <c r="D305" t="s">
        <v>236</v>
      </c>
      <c r="E305" s="1">
        <v>45286</v>
      </c>
      <c r="F305" t="s">
        <v>94</v>
      </c>
    </row>
    <row r="306" spans="1:6" x14ac:dyDescent="0.25">
      <c r="A306">
        <v>254</v>
      </c>
      <c r="B306" t="s">
        <v>766</v>
      </c>
      <c r="C306" t="s">
        <v>767</v>
      </c>
      <c r="D306" t="s">
        <v>768</v>
      </c>
      <c r="E306" s="1">
        <v>45240</v>
      </c>
      <c r="F306" t="s">
        <v>9</v>
      </c>
    </row>
    <row r="307" spans="1:6" x14ac:dyDescent="0.25">
      <c r="A307">
        <v>314</v>
      </c>
      <c r="B307" t="s">
        <v>940</v>
      </c>
      <c r="C307" t="s">
        <v>941</v>
      </c>
      <c r="D307" t="s">
        <v>942</v>
      </c>
      <c r="E307" s="1">
        <v>45026</v>
      </c>
      <c r="F307" t="s">
        <v>9</v>
      </c>
    </row>
    <row r="308" spans="1:6" x14ac:dyDescent="0.25">
      <c r="A308">
        <v>208</v>
      </c>
      <c r="B308" t="s">
        <v>630</v>
      </c>
      <c r="C308" t="s">
        <v>631</v>
      </c>
      <c r="D308" t="s">
        <v>632</v>
      </c>
      <c r="E308" s="1">
        <v>45037</v>
      </c>
      <c r="F308" t="s">
        <v>19</v>
      </c>
    </row>
    <row r="309" spans="1:6" x14ac:dyDescent="0.25">
      <c r="A309">
        <v>244</v>
      </c>
      <c r="B309" t="s">
        <v>736</v>
      </c>
      <c r="C309" t="s">
        <v>737</v>
      </c>
      <c r="D309" t="s">
        <v>738</v>
      </c>
      <c r="E309" s="1">
        <v>45208</v>
      </c>
      <c r="F309" t="s">
        <v>19</v>
      </c>
    </row>
    <row r="310" spans="1:6" x14ac:dyDescent="0.25">
      <c r="A310">
        <v>321</v>
      </c>
      <c r="B310" t="s">
        <v>961</v>
      </c>
      <c r="C310" t="s">
        <v>962</v>
      </c>
      <c r="D310" t="s">
        <v>963</v>
      </c>
      <c r="E310" s="1">
        <v>45226</v>
      </c>
      <c r="F310" t="s">
        <v>30</v>
      </c>
    </row>
    <row r="311" spans="1:6" x14ac:dyDescent="0.25">
      <c r="A311">
        <v>124</v>
      </c>
      <c r="B311" t="s">
        <v>380</v>
      </c>
      <c r="C311" t="s">
        <v>381</v>
      </c>
      <c r="D311" t="s">
        <v>382</v>
      </c>
      <c r="E311" s="1">
        <v>45172</v>
      </c>
      <c r="F311" t="s">
        <v>94</v>
      </c>
    </row>
    <row r="312" spans="1:6" x14ac:dyDescent="0.25">
      <c r="A312">
        <v>61</v>
      </c>
      <c r="B312" t="s">
        <v>192</v>
      </c>
      <c r="C312" t="s">
        <v>193</v>
      </c>
      <c r="D312" t="s">
        <v>194</v>
      </c>
      <c r="E312" s="1">
        <v>45247</v>
      </c>
      <c r="F312" t="s">
        <v>19</v>
      </c>
    </row>
    <row r="313" spans="1:6" x14ac:dyDescent="0.25">
      <c r="A313">
        <v>127</v>
      </c>
      <c r="B313" t="s">
        <v>389</v>
      </c>
      <c r="C313" t="s">
        <v>390</v>
      </c>
      <c r="D313" t="s">
        <v>391</v>
      </c>
      <c r="E313" s="1">
        <v>45212</v>
      </c>
      <c r="F313" t="s">
        <v>19</v>
      </c>
    </row>
    <row r="314" spans="1:6" x14ac:dyDescent="0.25">
      <c r="A314">
        <v>139</v>
      </c>
      <c r="B314" t="s">
        <v>425</v>
      </c>
      <c r="C314" t="s">
        <v>426</v>
      </c>
      <c r="D314" t="s">
        <v>427</v>
      </c>
      <c r="E314" s="1">
        <v>45055</v>
      </c>
      <c r="F314" t="s">
        <v>19</v>
      </c>
    </row>
    <row r="315" spans="1:6" x14ac:dyDescent="0.25">
      <c r="A315">
        <v>109</v>
      </c>
      <c r="B315" t="s">
        <v>335</v>
      </c>
      <c r="C315" t="s">
        <v>336</v>
      </c>
      <c r="D315" t="s">
        <v>337</v>
      </c>
      <c r="E315" s="1">
        <v>45166</v>
      </c>
      <c r="F315" t="s">
        <v>30</v>
      </c>
    </row>
    <row r="316" spans="1:6" x14ac:dyDescent="0.25">
      <c r="A316">
        <v>216</v>
      </c>
      <c r="B316" t="s">
        <v>654</v>
      </c>
      <c r="C316" t="s">
        <v>655</v>
      </c>
      <c r="D316" t="s">
        <v>656</v>
      </c>
      <c r="E316" s="1">
        <v>45241</v>
      </c>
      <c r="F316" t="s">
        <v>23</v>
      </c>
    </row>
    <row r="317" spans="1:6" x14ac:dyDescent="0.25">
      <c r="A317">
        <v>16</v>
      </c>
      <c r="B317" t="s">
        <v>55</v>
      </c>
      <c r="C317" t="s">
        <v>56</v>
      </c>
      <c r="D317" t="s">
        <v>57</v>
      </c>
      <c r="E317" s="1">
        <v>45035</v>
      </c>
      <c r="F317" t="s">
        <v>19</v>
      </c>
    </row>
    <row r="318" spans="1:6" x14ac:dyDescent="0.25">
      <c r="A318">
        <v>193</v>
      </c>
      <c r="B318" t="s">
        <v>586</v>
      </c>
      <c r="C318" t="s">
        <v>587</v>
      </c>
      <c r="D318" t="s">
        <v>588</v>
      </c>
      <c r="E318" s="1">
        <v>45246</v>
      </c>
      <c r="F318" t="s">
        <v>19</v>
      </c>
    </row>
    <row r="319" spans="1:6" x14ac:dyDescent="0.25">
      <c r="A319">
        <v>27</v>
      </c>
      <c r="B319" t="s">
        <v>88</v>
      </c>
      <c r="C319" t="s">
        <v>89</v>
      </c>
      <c r="D319" t="s">
        <v>90</v>
      </c>
      <c r="E319" s="1">
        <v>45259</v>
      </c>
      <c r="F319" t="s">
        <v>19</v>
      </c>
    </row>
    <row r="320" spans="1:6" x14ac:dyDescent="0.25">
      <c r="A320">
        <v>225</v>
      </c>
      <c r="B320" t="s">
        <v>680</v>
      </c>
      <c r="C320" t="s">
        <v>681</v>
      </c>
      <c r="D320" t="s">
        <v>682</v>
      </c>
      <c r="E320" s="1">
        <v>45243</v>
      </c>
      <c r="F320" t="s">
        <v>19</v>
      </c>
    </row>
    <row r="321" spans="1:6" x14ac:dyDescent="0.25">
      <c r="A321">
        <v>113</v>
      </c>
      <c r="B321" t="s">
        <v>347</v>
      </c>
      <c r="C321" t="s">
        <v>348</v>
      </c>
      <c r="D321" t="s">
        <v>349</v>
      </c>
      <c r="E321" s="1">
        <v>45135</v>
      </c>
      <c r="F321" t="s">
        <v>19</v>
      </c>
    </row>
    <row r="322" spans="1:6" x14ac:dyDescent="0.25">
      <c r="A322">
        <v>93</v>
      </c>
      <c r="B322" t="s">
        <v>288</v>
      </c>
      <c r="C322" t="s">
        <v>289</v>
      </c>
      <c r="D322" t="s">
        <v>290</v>
      </c>
      <c r="E322" s="1">
        <v>45079</v>
      </c>
      <c r="F322" t="s">
        <v>19</v>
      </c>
    </row>
    <row r="323" spans="1:6" x14ac:dyDescent="0.25">
      <c r="A323">
        <v>191</v>
      </c>
      <c r="B323" t="s">
        <v>580</v>
      </c>
      <c r="C323" t="s">
        <v>581</v>
      </c>
      <c r="D323" t="s">
        <v>582</v>
      </c>
      <c r="E323" s="1">
        <v>45274</v>
      </c>
      <c r="F323" t="s">
        <v>23</v>
      </c>
    </row>
    <row r="324" spans="1:6" x14ac:dyDescent="0.25">
      <c r="A324">
        <v>125</v>
      </c>
      <c r="B324" t="s">
        <v>383</v>
      </c>
      <c r="C324" t="s">
        <v>384</v>
      </c>
      <c r="D324" t="s">
        <v>385</v>
      </c>
      <c r="E324" s="1">
        <v>45249</v>
      </c>
      <c r="F324" t="s">
        <v>9</v>
      </c>
    </row>
    <row r="325" spans="1:6" x14ac:dyDescent="0.25">
      <c r="A325">
        <v>213</v>
      </c>
      <c r="B325" t="s">
        <v>645</v>
      </c>
      <c r="C325" t="s">
        <v>646</v>
      </c>
      <c r="D325" t="s">
        <v>647</v>
      </c>
      <c r="E325" s="1">
        <v>45258</v>
      </c>
      <c r="F325" t="s">
        <v>23</v>
      </c>
    </row>
    <row r="326" spans="1:6" x14ac:dyDescent="0.25">
      <c r="A326">
        <v>149</v>
      </c>
      <c r="B326" t="s">
        <v>455</v>
      </c>
      <c r="C326" t="s">
        <v>456</v>
      </c>
      <c r="D326" t="s">
        <v>457</v>
      </c>
      <c r="E326" s="1">
        <v>45246</v>
      </c>
      <c r="F326" t="s">
        <v>30</v>
      </c>
    </row>
    <row r="327" spans="1:6" x14ac:dyDescent="0.25">
      <c r="A327">
        <v>58</v>
      </c>
      <c r="B327" t="s">
        <v>183</v>
      </c>
      <c r="C327" t="s">
        <v>184</v>
      </c>
      <c r="D327" t="s">
        <v>185</v>
      </c>
      <c r="E327" s="1">
        <v>45199</v>
      </c>
      <c r="F327" t="s">
        <v>19</v>
      </c>
    </row>
  </sheetData>
  <dataValidations count="2">
    <dataValidation type="whole" operator="greaterThanOrEqual" allowBlank="1" showInputMessage="1" showErrorMessage="1" sqref="A1:A327" xr:uid="{5C4ADDEA-5406-4556-B38B-70FAC7B926A1}">
      <formula1>1</formula1>
    </dataValidation>
    <dataValidation type="date" allowBlank="1" showInputMessage="1" showErrorMessage="1" sqref="E1:E327" xr:uid="{22D014A0-0FA6-4EC8-A9EB-B74B1A256D58}">
      <formula1>44927</formula1>
      <formula2>45291</formula2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527ED-A448-4386-9C3C-81E2E7764F89}">
  <dimension ref="A1:C9"/>
  <sheetViews>
    <sheetView workbookViewId="0">
      <selection sqref="A1:A9"/>
    </sheetView>
  </sheetViews>
  <sheetFormatPr baseColWidth="10" defaultRowHeight="15" x14ac:dyDescent="0.25"/>
  <cols>
    <col min="1" max="1" width="14.85546875" bestFit="1" customWidth="1"/>
    <col min="2" max="2" width="17.5703125" bestFit="1" customWidth="1"/>
    <col min="3" max="3" width="81.140625" bestFit="1" customWidth="1"/>
  </cols>
  <sheetData>
    <row r="1" spans="1:3" x14ac:dyDescent="0.25">
      <c r="A1" t="s">
        <v>978</v>
      </c>
      <c r="B1" t="s">
        <v>979</v>
      </c>
      <c r="C1" t="s">
        <v>980</v>
      </c>
    </row>
    <row r="2" spans="1:3" x14ac:dyDescent="0.25">
      <c r="A2">
        <v>1</v>
      </c>
      <c r="B2" t="s">
        <v>981</v>
      </c>
      <c r="C2" t="s">
        <v>982</v>
      </c>
    </row>
    <row r="3" spans="1:3" x14ac:dyDescent="0.25">
      <c r="A3">
        <v>2</v>
      </c>
      <c r="B3" t="s">
        <v>983</v>
      </c>
      <c r="C3" t="s">
        <v>984</v>
      </c>
    </row>
    <row r="4" spans="1:3" x14ac:dyDescent="0.25">
      <c r="A4">
        <v>3</v>
      </c>
      <c r="B4" t="s">
        <v>985</v>
      </c>
      <c r="C4" t="s">
        <v>986</v>
      </c>
    </row>
    <row r="5" spans="1:3" x14ac:dyDescent="0.25">
      <c r="A5">
        <v>4</v>
      </c>
      <c r="B5" t="s">
        <v>987</v>
      </c>
      <c r="C5" t="s">
        <v>988</v>
      </c>
    </row>
    <row r="6" spans="1:3" x14ac:dyDescent="0.25">
      <c r="A6">
        <v>5</v>
      </c>
      <c r="B6" t="s">
        <v>989</v>
      </c>
      <c r="C6" t="s">
        <v>990</v>
      </c>
    </row>
    <row r="7" spans="1:3" x14ac:dyDescent="0.25">
      <c r="A7">
        <v>6</v>
      </c>
      <c r="B7" t="s">
        <v>991</v>
      </c>
      <c r="C7" t="s">
        <v>992</v>
      </c>
    </row>
    <row r="8" spans="1:3" x14ac:dyDescent="0.25">
      <c r="A8">
        <v>7</v>
      </c>
      <c r="B8" t="s">
        <v>993</v>
      </c>
      <c r="C8" t="s">
        <v>994</v>
      </c>
    </row>
    <row r="9" spans="1:3" x14ac:dyDescent="0.25">
      <c r="A9">
        <v>8</v>
      </c>
      <c r="B9" t="s">
        <v>995</v>
      </c>
      <c r="C9" t="s">
        <v>996</v>
      </c>
    </row>
  </sheetData>
  <dataValidations count="1">
    <dataValidation type="whole" operator="greaterThanOrEqual" allowBlank="1" showInputMessage="1" showErrorMessage="1" sqref="A1:A9" xr:uid="{D9E64C29-E956-418F-A2F6-4AAB3DB94EAC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4E248-EF38-4FD0-B578-9A3748A346CB}">
  <dimension ref="A1:C6"/>
  <sheetViews>
    <sheetView workbookViewId="0">
      <selection sqref="A1:A6"/>
    </sheetView>
  </sheetViews>
  <sheetFormatPr baseColWidth="10" defaultRowHeight="15" x14ac:dyDescent="0.25"/>
  <cols>
    <col min="1" max="1" width="13" bestFit="1" customWidth="1"/>
    <col min="2" max="2" width="16.5703125" bestFit="1" customWidth="1"/>
    <col min="3" max="3" width="94.140625" bestFit="1" customWidth="1"/>
  </cols>
  <sheetData>
    <row r="1" spans="1:3" x14ac:dyDescent="0.25">
      <c r="A1" t="s">
        <v>1047</v>
      </c>
      <c r="B1" t="s">
        <v>1048</v>
      </c>
      <c r="C1" t="s">
        <v>980</v>
      </c>
    </row>
    <row r="2" spans="1:3" x14ac:dyDescent="0.25">
      <c r="A2">
        <v>1</v>
      </c>
      <c r="B2" t="s">
        <v>1049</v>
      </c>
      <c r="C2" t="s">
        <v>1050</v>
      </c>
    </row>
    <row r="3" spans="1:3" x14ac:dyDescent="0.25">
      <c r="A3">
        <v>2</v>
      </c>
      <c r="B3" t="s">
        <v>1051</v>
      </c>
      <c r="C3" t="s">
        <v>1052</v>
      </c>
    </row>
    <row r="4" spans="1:3" x14ac:dyDescent="0.25">
      <c r="A4">
        <v>3</v>
      </c>
      <c r="B4" t="s">
        <v>1053</v>
      </c>
      <c r="C4" t="s">
        <v>1054</v>
      </c>
    </row>
    <row r="5" spans="1:3" x14ac:dyDescent="0.25">
      <c r="A5">
        <v>4</v>
      </c>
      <c r="B5" t="s">
        <v>1055</v>
      </c>
      <c r="C5" t="s">
        <v>1056</v>
      </c>
    </row>
    <row r="6" spans="1:3" x14ac:dyDescent="0.25">
      <c r="A6">
        <v>5</v>
      </c>
      <c r="B6" t="s">
        <v>1057</v>
      </c>
      <c r="C6" t="s">
        <v>1058</v>
      </c>
    </row>
  </sheetData>
  <dataValidations count="1">
    <dataValidation type="whole" operator="greaterThanOrEqual" allowBlank="1" showInputMessage="1" showErrorMessage="1" sqref="A1:A6" xr:uid="{3BF9009B-06C5-4187-9138-204AFDF2BE55}">
      <formula1>1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E07CF-0563-4B01-A733-609BC64B415A}">
  <dimension ref="A1:I3001"/>
  <sheetViews>
    <sheetView tabSelected="1" workbookViewId="0">
      <selection activeCell="K6" sqref="K6"/>
    </sheetView>
  </sheetViews>
  <sheetFormatPr baseColWidth="10" defaultRowHeight="15" x14ac:dyDescent="0.25"/>
  <cols>
    <col min="1" max="1" width="11.28515625" bestFit="1" customWidth="1"/>
    <col min="2" max="2" width="10.42578125" bestFit="1" customWidth="1"/>
    <col min="3" max="3" width="12.85546875" bestFit="1" customWidth="1"/>
    <col min="4" max="4" width="14.28515625" bestFit="1" customWidth="1"/>
    <col min="6" max="6" width="15.28515625" bestFit="1" customWidth="1"/>
    <col min="7" max="7" width="10.42578125" bestFit="1" customWidth="1"/>
    <col min="8" max="8" width="17" bestFit="1" customWidth="1"/>
  </cols>
  <sheetData>
    <row r="1" spans="1:9" x14ac:dyDescent="0.25">
      <c r="A1" t="s">
        <v>1039</v>
      </c>
      <c r="B1" t="s">
        <v>1040</v>
      </c>
      <c r="C1" t="s">
        <v>0</v>
      </c>
      <c r="D1" s="2" t="s">
        <v>997</v>
      </c>
      <c r="E1" t="s">
        <v>1041</v>
      </c>
      <c r="F1" t="s">
        <v>1042</v>
      </c>
      <c r="G1" t="s">
        <v>1043</v>
      </c>
      <c r="H1" t="s">
        <v>999</v>
      </c>
      <c r="I1" t="s">
        <v>1059</v>
      </c>
    </row>
    <row r="2" spans="1:9" x14ac:dyDescent="0.25">
      <c r="A2">
        <v>43</v>
      </c>
      <c r="B2" s="1">
        <v>45324</v>
      </c>
      <c r="C2">
        <v>294</v>
      </c>
      <c r="D2">
        <v>31</v>
      </c>
      <c r="E2">
        <v>1</v>
      </c>
      <c r="F2">
        <v>4</v>
      </c>
      <c r="G2" t="s">
        <v>1044</v>
      </c>
      <c r="H2">
        <f>_xlfn.XLOOKUP(D2, productos!$A$2:$A$150, productos!$D$2:$D$150, "No Encontrado", 0)</f>
        <v>5.24</v>
      </c>
      <c r="I2">
        <f>E2*H2</f>
        <v>5.24</v>
      </c>
    </row>
    <row r="3" spans="1:9" x14ac:dyDescent="0.25">
      <c r="A3">
        <v>272</v>
      </c>
      <c r="B3" s="1">
        <v>45324</v>
      </c>
      <c r="C3">
        <v>60</v>
      </c>
      <c r="D3">
        <v>3</v>
      </c>
      <c r="E3">
        <v>6</v>
      </c>
      <c r="F3">
        <v>4</v>
      </c>
      <c r="G3" t="s">
        <v>1044</v>
      </c>
      <c r="H3">
        <f>_xlfn.XLOOKUP(D3, productos!$A$2:$A$150, productos!$D$2:$D$150, "No Encontrado", 0)</f>
        <v>17.23</v>
      </c>
      <c r="I3">
        <f t="shared" ref="I3:I66" si="0">E3*H3</f>
        <v>103.38</v>
      </c>
    </row>
    <row r="4" spans="1:9" x14ac:dyDescent="0.25">
      <c r="A4">
        <v>262</v>
      </c>
      <c r="B4" s="1">
        <v>45325</v>
      </c>
      <c r="C4">
        <v>156</v>
      </c>
      <c r="D4">
        <v>33</v>
      </c>
      <c r="E4">
        <v>3</v>
      </c>
      <c r="F4">
        <v>4</v>
      </c>
      <c r="G4" t="s">
        <v>1045</v>
      </c>
      <c r="H4">
        <f>_xlfn.XLOOKUP(D4, productos!$A$2:$A$150, productos!$D$2:$D$150, "No Encontrado", 0)</f>
        <v>8.5399999999999991</v>
      </c>
      <c r="I4">
        <f t="shared" si="0"/>
        <v>25.619999999999997</v>
      </c>
    </row>
    <row r="5" spans="1:9" x14ac:dyDescent="0.25">
      <c r="A5">
        <v>277</v>
      </c>
      <c r="B5" s="1">
        <v>45327</v>
      </c>
      <c r="C5">
        <v>159</v>
      </c>
      <c r="D5">
        <v>4</v>
      </c>
      <c r="E5">
        <v>6</v>
      </c>
      <c r="F5">
        <v>4</v>
      </c>
      <c r="G5" t="s">
        <v>1044</v>
      </c>
      <c r="H5">
        <f>_xlfn.XLOOKUP(D5, productos!$A$2:$A$150, productos!$D$2:$D$150, "No Encontrado", 0)</f>
        <v>19.23</v>
      </c>
      <c r="I5">
        <f t="shared" si="0"/>
        <v>115.38</v>
      </c>
    </row>
    <row r="6" spans="1:9" x14ac:dyDescent="0.25">
      <c r="A6">
        <v>116</v>
      </c>
      <c r="B6" s="1">
        <v>45329</v>
      </c>
      <c r="C6">
        <v>71</v>
      </c>
      <c r="D6">
        <v>35</v>
      </c>
      <c r="E6">
        <v>4</v>
      </c>
      <c r="F6">
        <v>3</v>
      </c>
      <c r="G6" t="s">
        <v>1044</v>
      </c>
      <c r="H6">
        <f>_xlfn.XLOOKUP(D6, productos!$A$2:$A$150, productos!$D$2:$D$150, "No Encontrado", 0)</f>
        <v>4.25</v>
      </c>
      <c r="I6">
        <f t="shared" si="0"/>
        <v>17</v>
      </c>
    </row>
    <row r="7" spans="1:9" x14ac:dyDescent="0.25">
      <c r="A7">
        <v>215</v>
      </c>
      <c r="B7" s="1">
        <v>45329</v>
      </c>
      <c r="C7">
        <v>64</v>
      </c>
      <c r="D7">
        <v>31</v>
      </c>
      <c r="E7">
        <v>2</v>
      </c>
      <c r="F7">
        <v>4</v>
      </c>
      <c r="G7" t="s">
        <v>1045</v>
      </c>
      <c r="H7">
        <f>_xlfn.XLOOKUP(D7, productos!$A$2:$A$150, productos!$D$2:$D$150, "No Encontrado", 0)</f>
        <v>5.24</v>
      </c>
      <c r="I7">
        <f t="shared" si="0"/>
        <v>10.48</v>
      </c>
    </row>
    <row r="8" spans="1:9" x14ac:dyDescent="0.25">
      <c r="A8">
        <v>226</v>
      </c>
      <c r="B8" s="1">
        <v>45331</v>
      </c>
      <c r="C8">
        <v>3</v>
      </c>
      <c r="D8">
        <v>11</v>
      </c>
      <c r="E8">
        <v>4</v>
      </c>
      <c r="F8">
        <v>1</v>
      </c>
      <c r="G8" t="s">
        <v>1044</v>
      </c>
      <c r="H8">
        <f>_xlfn.XLOOKUP(D8, productos!$A$2:$A$150, productos!$D$2:$D$150, "No Encontrado", 0)</f>
        <v>11.23</v>
      </c>
      <c r="I8">
        <f t="shared" si="0"/>
        <v>44.92</v>
      </c>
    </row>
    <row r="9" spans="1:9" x14ac:dyDescent="0.25">
      <c r="A9">
        <v>117</v>
      </c>
      <c r="B9" s="1">
        <v>45332</v>
      </c>
      <c r="C9">
        <v>288</v>
      </c>
      <c r="D9">
        <v>10</v>
      </c>
      <c r="E9">
        <v>3</v>
      </c>
      <c r="F9">
        <v>2</v>
      </c>
      <c r="G9" t="s">
        <v>1045</v>
      </c>
      <c r="H9">
        <f>_xlfn.XLOOKUP(D9, productos!$A$2:$A$150, productos!$D$2:$D$150, "No Encontrado", 0)</f>
        <v>14.25</v>
      </c>
      <c r="I9">
        <f t="shared" si="0"/>
        <v>42.75</v>
      </c>
    </row>
    <row r="10" spans="1:9" x14ac:dyDescent="0.25">
      <c r="A10">
        <v>29</v>
      </c>
      <c r="B10" s="1">
        <v>45334</v>
      </c>
      <c r="C10">
        <v>205</v>
      </c>
      <c r="D10">
        <v>38</v>
      </c>
      <c r="E10">
        <v>2</v>
      </c>
      <c r="F10">
        <v>3</v>
      </c>
      <c r="G10" t="s">
        <v>1044</v>
      </c>
      <c r="H10">
        <f>_xlfn.XLOOKUP(D10, productos!$A$2:$A$150, productos!$D$2:$D$150, "No Encontrado", 0)</f>
        <v>6.21</v>
      </c>
      <c r="I10">
        <f t="shared" si="0"/>
        <v>12.42</v>
      </c>
    </row>
    <row r="11" spans="1:9" x14ac:dyDescent="0.25">
      <c r="A11">
        <v>237</v>
      </c>
      <c r="B11" s="1">
        <v>45334</v>
      </c>
      <c r="C11">
        <v>182</v>
      </c>
      <c r="D11">
        <v>21</v>
      </c>
      <c r="E11">
        <v>4</v>
      </c>
      <c r="F11">
        <v>1</v>
      </c>
      <c r="G11" t="s">
        <v>1044</v>
      </c>
      <c r="H11">
        <f>_xlfn.XLOOKUP(D11, productos!$A$2:$A$150, productos!$D$2:$D$150, "No Encontrado", 0)</f>
        <v>3.25</v>
      </c>
      <c r="I11">
        <f t="shared" si="0"/>
        <v>13</v>
      </c>
    </row>
    <row r="12" spans="1:9" x14ac:dyDescent="0.25">
      <c r="A12">
        <v>8</v>
      </c>
      <c r="B12" s="1">
        <v>45335</v>
      </c>
      <c r="C12">
        <v>214</v>
      </c>
      <c r="D12">
        <v>38</v>
      </c>
      <c r="E12">
        <v>4</v>
      </c>
      <c r="F12">
        <v>4</v>
      </c>
      <c r="G12" t="s">
        <v>1044</v>
      </c>
      <c r="H12">
        <f>_xlfn.XLOOKUP(D12, productos!$A$2:$A$150, productos!$D$2:$D$150, "No Encontrado", 0)</f>
        <v>6.21</v>
      </c>
      <c r="I12">
        <f t="shared" si="0"/>
        <v>24.84</v>
      </c>
    </row>
    <row r="13" spans="1:9" x14ac:dyDescent="0.25">
      <c r="A13">
        <v>14</v>
      </c>
      <c r="B13" s="1">
        <v>45335</v>
      </c>
      <c r="C13">
        <v>171</v>
      </c>
      <c r="D13">
        <v>22</v>
      </c>
      <c r="E13">
        <v>4</v>
      </c>
      <c r="F13">
        <v>3</v>
      </c>
      <c r="G13" t="s">
        <v>1044</v>
      </c>
      <c r="H13">
        <f>_xlfn.XLOOKUP(D13, productos!$A$2:$A$150, productos!$D$2:$D$150, "No Encontrado", 0)</f>
        <v>4.21</v>
      </c>
      <c r="I13">
        <f t="shared" si="0"/>
        <v>16.84</v>
      </c>
    </row>
    <row r="14" spans="1:9" x14ac:dyDescent="0.25">
      <c r="A14">
        <v>34</v>
      </c>
      <c r="B14" s="1">
        <v>45337</v>
      </c>
      <c r="C14">
        <v>325</v>
      </c>
      <c r="D14">
        <v>35</v>
      </c>
      <c r="E14">
        <v>5</v>
      </c>
      <c r="F14">
        <v>2</v>
      </c>
      <c r="G14" t="s">
        <v>1044</v>
      </c>
      <c r="H14">
        <f>_xlfn.XLOOKUP(D14, productos!$A$2:$A$150, productos!$D$2:$D$150, "No Encontrado", 0)</f>
        <v>4.25</v>
      </c>
      <c r="I14">
        <f t="shared" si="0"/>
        <v>21.25</v>
      </c>
    </row>
    <row r="15" spans="1:9" x14ac:dyDescent="0.25">
      <c r="A15">
        <v>294</v>
      </c>
      <c r="B15" s="1">
        <v>45337</v>
      </c>
      <c r="C15">
        <v>85</v>
      </c>
      <c r="D15">
        <v>24</v>
      </c>
      <c r="E15">
        <v>3</v>
      </c>
      <c r="F15">
        <v>2</v>
      </c>
      <c r="G15" t="s">
        <v>1044</v>
      </c>
      <c r="H15">
        <f>_xlfn.XLOOKUP(D15, productos!$A$2:$A$150, productos!$D$2:$D$150, "No Encontrado", 0)</f>
        <v>13.54</v>
      </c>
      <c r="I15">
        <f t="shared" si="0"/>
        <v>40.619999999999997</v>
      </c>
    </row>
    <row r="16" spans="1:9" x14ac:dyDescent="0.25">
      <c r="A16">
        <v>207</v>
      </c>
      <c r="B16" s="1">
        <v>45339</v>
      </c>
      <c r="C16">
        <v>203</v>
      </c>
      <c r="D16">
        <v>20</v>
      </c>
      <c r="E16">
        <v>2</v>
      </c>
      <c r="F16">
        <v>5</v>
      </c>
      <c r="G16" t="s">
        <v>1044</v>
      </c>
      <c r="H16">
        <f>_xlfn.XLOOKUP(D16, productos!$A$2:$A$150, productos!$D$2:$D$150, "No Encontrado", 0)</f>
        <v>4.25</v>
      </c>
      <c r="I16">
        <f t="shared" si="0"/>
        <v>8.5</v>
      </c>
    </row>
    <row r="17" spans="1:9" x14ac:dyDescent="0.25">
      <c r="A17">
        <v>297</v>
      </c>
      <c r="B17" s="1">
        <v>45339</v>
      </c>
      <c r="C17">
        <v>302</v>
      </c>
      <c r="D17">
        <v>3</v>
      </c>
      <c r="E17">
        <v>4</v>
      </c>
      <c r="F17">
        <v>5</v>
      </c>
      <c r="G17" t="s">
        <v>1045</v>
      </c>
      <c r="H17">
        <f>_xlfn.XLOOKUP(D17, productos!$A$2:$A$150, productos!$D$2:$D$150, "No Encontrado", 0)</f>
        <v>17.23</v>
      </c>
      <c r="I17">
        <f t="shared" si="0"/>
        <v>68.92</v>
      </c>
    </row>
    <row r="18" spans="1:9" x14ac:dyDescent="0.25">
      <c r="A18">
        <v>77</v>
      </c>
      <c r="B18" s="1">
        <v>45340</v>
      </c>
      <c r="C18">
        <v>320</v>
      </c>
      <c r="D18">
        <v>27</v>
      </c>
      <c r="E18">
        <v>2</v>
      </c>
      <c r="F18">
        <v>3</v>
      </c>
      <c r="G18" t="s">
        <v>1044</v>
      </c>
      <c r="H18">
        <f>_xlfn.XLOOKUP(D18, productos!$A$2:$A$150, productos!$D$2:$D$150, "No Encontrado", 0)</f>
        <v>6.21</v>
      </c>
      <c r="I18">
        <f t="shared" si="0"/>
        <v>12.42</v>
      </c>
    </row>
    <row r="19" spans="1:9" x14ac:dyDescent="0.25">
      <c r="A19">
        <v>131</v>
      </c>
      <c r="B19" s="1">
        <v>45340</v>
      </c>
      <c r="C19">
        <v>17</v>
      </c>
      <c r="D19">
        <v>23</v>
      </c>
      <c r="E19">
        <v>5</v>
      </c>
      <c r="F19">
        <v>4</v>
      </c>
      <c r="G19" t="s">
        <v>1044</v>
      </c>
      <c r="H19">
        <f>_xlfn.XLOOKUP(D19, productos!$A$2:$A$150, productos!$D$2:$D$150, "No Encontrado", 0)</f>
        <v>8.23</v>
      </c>
      <c r="I19">
        <f t="shared" si="0"/>
        <v>41.150000000000006</v>
      </c>
    </row>
    <row r="20" spans="1:9" x14ac:dyDescent="0.25">
      <c r="A20">
        <v>166</v>
      </c>
      <c r="B20" s="1">
        <v>45340</v>
      </c>
      <c r="C20">
        <v>25</v>
      </c>
      <c r="D20">
        <v>13</v>
      </c>
      <c r="E20">
        <v>5</v>
      </c>
      <c r="F20">
        <v>5</v>
      </c>
      <c r="G20" t="s">
        <v>1044</v>
      </c>
      <c r="H20">
        <f>_xlfn.XLOOKUP(D20, productos!$A$2:$A$150, productos!$D$2:$D$150, "No Encontrado", 0)</f>
        <v>12.56</v>
      </c>
      <c r="I20">
        <f t="shared" si="0"/>
        <v>62.800000000000004</v>
      </c>
    </row>
    <row r="21" spans="1:9" x14ac:dyDescent="0.25">
      <c r="A21">
        <v>223</v>
      </c>
      <c r="B21" s="1">
        <v>45340</v>
      </c>
      <c r="C21">
        <v>221</v>
      </c>
      <c r="D21">
        <v>29</v>
      </c>
      <c r="E21">
        <v>1</v>
      </c>
      <c r="F21">
        <v>5</v>
      </c>
      <c r="G21" t="s">
        <v>1044</v>
      </c>
      <c r="H21">
        <f>_xlfn.XLOOKUP(D21, productos!$A$2:$A$150, productos!$D$2:$D$150, "No Encontrado", 0)</f>
        <v>11.54</v>
      </c>
      <c r="I21">
        <f t="shared" si="0"/>
        <v>11.54</v>
      </c>
    </row>
    <row r="22" spans="1:9" x14ac:dyDescent="0.25">
      <c r="A22">
        <v>236</v>
      </c>
      <c r="B22" s="1">
        <v>45340</v>
      </c>
      <c r="C22">
        <v>44</v>
      </c>
      <c r="D22">
        <v>21</v>
      </c>
      <c r="E22">
        <v>4</v>
      </c>
      <c r="F22">
        <v>5</v>
      </c>
      <c r="G22" t="s">
        <v>1045</v>
      </c>
      <c r="H22">
        <f>_xlfn.XLOOKUP(D22, productos!$A$2:$A$150, productos!$D$2:$D$150, "No Encontrado", 0)</f>
        <v>3.25</v>
      </c>
      <c r="I22">
        <f t="shared" si="0"/>
        <v>13</v>
      </c>
    </row>
    <row r="23" spans="1:9" x14ac:dyDescent="0.25">
      <c r="A23">
        <v>53</v>
      </c>
      <c r="B23" s="1">
        <v>45341</v>
      </c>
      <c r="C23">
        <v>66</v>
      </c>
      <c r="D23">
        <v>30</v>
      </c>
      <c r="E23">
        <v>2</v>
      </c>
      <c r="F23">
        <v>5</v>
      </c>
      <c r="G23" t="s">
        <v>1044</v>
      </c>
      <c r="H23">
        <f>_xlfn.XLOOKUP(D23, productos!$A$2:$A$150, productos!$D$2:$D$150, "No Encontrado", 0)</f>
        <v>13.54</v>
      </c>
      <c r="I23">
        <f t="shared" si="0"/>
        <v>27.08</v>
      </c>
    </row>
    <row r="24" spans="1:9" x14ac:dyDescent="0.25">
      <c r="A24">
        <v>11</v>
      </c>
      <c r="B24" s="1">
        <v>45342</v>
      </c>
      <c r="C24">
        <v>237</v>
      </c>
      <c r="D24">
        <v>25</v>
      </c>
      <c r="E24">
        <v>6</v>
      </c>
      <c r="F24">
        <v>1</v>
      </c>
      <c r="G24" t="s">
        <v>1044</v>
      </c>
      <c r="H24">
        <f>_xlfn.XLOOKUP(D24, productos!$A$2:$A$150, productos!$D$2:$D$150, "No Encontrado", 0)</f>
        <v>15.45</v>
      </c>
      <c r="I24">
        <f t="shared" si="0"/>
        <v>92.699999999999989</v>
      </c>
    </row>
    <row r="25" spans="1:9" x14ac:dyDescent="0.25">
      <c r="A25">
        <v>110</v>
      </c>
      <c r="B25" s="1">
        <v>45342</v>
      </c>
      <c r="C25">
        <v>31</v>
      </c>
      <c r="D25">
        <v>11</v>
      </c>
      <c r="E25">
        <v>2</v>
      </c>
      <c r="F25">
        <v>3</v>
      </c>
      <c r="G25" t="s">
        <v>1044</v>
      </c>
      <c r="H25">
        <f>_xlfn.XLOOKUP(D25, productos!$A$2:$A$150, productos!$D$2:$D$150, "No Encontrado", 0)</f>
        <v>11.23</v>
      </c>
      <c r="I25">
        <f t="shared" si="0"/>
        <v>22.46</v>
      </c>
    </row>
    <row r="26" spans="1:9" x14ac:dyDescent="0.25">
      <c r="A26">
        <v>168</v>
      </c>
      <c r="B26" s="1">
        <v>45343</v>
      </c>
      <c r="C26">
        <v>186</v>
      </c>
      <c r="D26">
        <v>2</v>
      </c>
      <c r="E26">
        <v>1</v>
      </c>
      <c r="F26">
        <v>4</v>
      </c>
      <c r="G26" t="s">
        <v>1044</v>
      </c>
      <c r="H26">
        <f>_xlfn.XLOOKUP(D26, productos!$A$2:$A$150, productos!$D$2:$D$150, "No Encontrado", 0)</f>
        <v>5.21</v>
      </c>
      <c r="I26">
        <f t="shared" si="0"/>
        <v>5.21</v>
      </c>
    </row>
    <row r="27" spans="1:9" x14ac:dyDescent="0.25">
      <c r="A27">
        <v>85</v>
      </c>
      <c r="B27" s="1">
        <v>45345</v>
      </c>
      <c r="C27">
        <v>91</v>
      </c>
      <c r="D27">
        <v>4</v>
      </c>
      <c r="E27">
        <v>5</v>
      </c>
      <c r="F27">
        <v>2</v>
      </c>
      <c r="G27" t="s">
        <v>1044</v>
      </c>
      <c r="H27">
        <f>_xlfn.XLOOKUP(D27, productos!$A$2:$A$150, productos!$D$2:$D$150, "No Encontrado", 0)</f>
        <v>19.23</v>
      </c>
      <c r="I27">
        <f t="shared" si="0"/>
        <v>96.15</v>
      </c>
    </row>
    <row r="28" spans="1:9" x14ac:dyDescent="0.25">
      <c r="A28">
        <v>88</v>
      </c>
      <c r="B28" s="1">
        <v>45346</v>
      </c>
      <c r="C28">
        <v>176</v>
      </c>
      <c r="D28">
        <v>37</v>
      </c>
      <c r="E28">
        <v>1</v>
      </c>
      <c r="F28">
        <v>5</v>
      </c>
      <c r="G28" t="s">
        <v>1044</v>
      </c>
      <c r="H28">
        <f>_xlfn.XLOOKUP(D28, productos!$A$2:$A$150, productos!$D$2:$D$150, "No Encontrado", 0)</f>
        <v>3.65</v>
      </c>
      <c r="I28">
        <f t="shared" si="0"/>
        <v>3.65</v>
      </c>
    </row>
    <row r="29" spans="1:9" x14ac:dyDescent="0.25">
      <c r="A29">
        <v>267</v>
      </c>
      <c r="B29" s="1">
        <v>45346</v>
      </c>
      <c r="C29">
        <v>273</v>
      </c>
      <c r="D29">
        <v>13</v>
      </c>
      <c r="E29">
        <v>1</v>
      </c>
      <c r="F29">
        <v>4</v>
      </c>
      <c r="G29" t="s">
        <v>1045</v>
      </c>
      <c r="H29">
        <f>_xlfn.XLOOKUP(D29, productos!$A$2:$A$150, productos!$D$2:$D$150, "No Encontrado", 0)</f>
        <v>12.56</v>
      </c>
      <c r="I29">
        <f t="shared" si="0"/>
        <v>12.56</v>
      </c>
    </row>
    <row r="30" spans="1:9" x14ac:dyDescent="0.25">
      <c r="A30">
        <v>134</v>
      </c>
      <c r="B30" s="1">
        <v>45347</v>
      </c>
      <c r="C30">
        <v>308</v>
      </c>
      <c r="D30">
        <v>10</v>
      </c>
      <c r="E30">
        <v>1</v>
      </c>
      <c r="F30">
        <v>4</v>
      </c>
      <c r="G30" t="s">
        <v>1044</v>
      </c>
      <c r="H30">
        <f>_xlfn.XLOOKUP(D30, productos!$A$2:$A$150, productos!$D$2:$D$150, "No Encontrado", 0)</f>
        <v>14.25</v>
      </c>
      <c r="I30">
        <f t="shared" si="0"/>
        <v>14.25</v>
      </c>
    </row>
    <row r="31" spans="1:9" x14ac:dyDescent="0.25">
      <c r="A31">
        <v>39</v>
      </c>
      <c r="B31" s="1">
        <v>45348</v>
      </c>
      <c r="C31">
        <v>183</v>
      </c>
      <c r="D31">
        <v>26</v>
      </c>
      <c r="E31">
        <v>2</v>
      </c>
      <c r="F31">
        <v>4</v>
      </c>
      <c r="G31" t="s">
        <v>1044</v>
      </c>
      <c r="H31">
        <f>_xlfn.XLOOKUP(D31, productos!$A$2:$A$150, productos!$D$2:$D$150, "No Encontrado", 0)</f>
        <v>9.5399999999999991</v>
      </c>
      <c r="I31">
        <f t="shared" si="0"/>
        <v>19.079999999999998</v>
      </c>
    </row>
    <row r="32" spans="1:9" x14ac:dyDescent="0.25">
      <c r="A32">
        <v>89</v>
      </c>
      <c r="B32" s="1">
        <v>45350</v>
      </c>
      <c r="C32">
        <v>6</v>
      </c>
      <c r="D32">
        <v>10</v>
      </c>
      <c r="E32">
        <v>2</v>
      </c>
      <c r="F32">
        <v>3</v>
      </c>
      <c r="G32" t="s">
        <v>1044</v>
      </c>
      <c r="H32">
        <f>_xlfn.XLOOKUP(D32, productos!$A$2:$A$150, productos!$D$2:$D$150, "No Encontrado", 0)</f>
        <v>14.25</v>
      </c>
      <c r="I32">
        <f t="shared" si="0"/>
        <v>28.5</v>
      </c>
    </row>
    <row r="33" spans="1:9" x14ac:dyDescent="0.25">
      <c r="A33">
        <v>271</v>
      </c>
      <c r="B33" s="1">
        <v>45350</v>
      </c>
      <c r="C33">
        <v>66</v>
      </c>
      <c r="D33">
        <v>6</v>
      </c>
      <c r="E33">
        <v>6</v>
      </c>
      <c r="F33">
        <v>4</v>
      </c>
      <c r="G33" t="s">
        <v>1044</v>
      </c>
      <c r="H33">
        <f>_xlfn.XLOOKUP(D33, productos!$A$2:$A$150, productos!$D$2:$D$150, "No Encontrado", 0)</f>
        <v>28.56</v>
      </c>
      <c r="I33">
        <f t="shared" si="0"/>
        <v>171.35999999999999</v>
      </c>
    </row>
    <row r="34" spans="1:9" x14ac:dyDescent="0.25">
      <c r="A34">
        <v>3</v>
      </c>
      <c r="B34" s="1">
        <v>45351</v>
      </c>
      <c r="C34">
        <v>31</v>
      </c>
      <c r="D34">
        <v>21</v>
      </c>
      <c r="E34">
        <v>3</v>
      </c>
      <c r="F34">
        <v>3</v>
      </c>
      <c r="G34" t="s">
        <v>1044</v>
      </c>
      <c r="H34">
        <f>_xlfn.XLOOKUP(D34, productos!$A$2:$A$150, productos!$D$2:$D$150, "No Encontrado", 0)</f>
        <v>3.25</v>
      </c>
      <c r="I34">
        <f t="shared" si="0"/>
        <v>9.75</v>
      </c>
    </row>
    <row r="35" spans="1:9" x14ac:dyDescent="0.25">
      <c r="A35">
        <v>123</v>
      </c>
      <c r="B35" s="1">
        <v>45351</v>
      </c>
      <c r="C35">
        <v>169</v>
      </c>
      <c r="D35">
        <v>32</v>
      </c>
      <c r="E35">
        <v>5</v>
      </c>
      <c r="F35">
        <v>5</v>
      </c>
      <c r="G35" t="s">
        <v>1044</v>
      </c>
      <c r="H35">
        <f>_xlfn.XLOOKUP(D35, productos!$A$2:$A$150, productos!$D$2:$D$150, "No Encontrado", 0)</f>
        <v>6.25</v>
      </c>
      <c r="I35">
        <f t="shared" si="0"/>
        <v>31.25</v>
      </c>
    </row>
    <row r="36" spans="1:9" x14ac:dyDescent="0.25">
      <c r="A36">
        <v>66</v>
      </c>
      <c r="B36" s="1">
        <v>45352</v>
      </c>
      <c r="C36">
        <v>97</v>
      </c>
      <c r="D36">
        <v>27</v>
      </c>
      <c r="E36">
        <v>3</v>
      </c>
      <c r="F36">
        <v>5</v>
      </c>
      <c r="G36" t="s">
        <v>1044</v>
      </c>
      <c r="H36">
        <f>_xlfn.XLOOKUP(D36, productos!$A$2:$A$150, productos!$D$2:$D$150, "No Encontrado", 0)</f>
        <v>6.21</v>
      </c>
      <c r="I36">
        <f t="shared" si="0"/>
        <v>18.63</v>
      </c>
    </row>
    <row r="37" spans="1:9" x14ac:dyDescent="0.25">
      <c r="A37">
        <v>183</v>
      </c>
      <c r="B37" s="1">
        <v>45352</v>
      </c>
      <c r="C37">
        <v>31</v>
      </c>
      <c r="D37">
        <v>38</v>
      </c>
      <c r="E37">
        <v>3</v>
      </c>
      <c r="F37">
        <v>3</v>
      </c>
      <c r="G37" t="s">
        <v>1044</v>
      </c>
      <c r="H37">
        <f>_xlfn.XLOOKUP(D37, productos!$A$2:$A$150, productos!$D$2:$D$150, "No Encontrado", 0)</f>
        <v>6.21</v>
      </c>
      <c r="I37">
        <f t="shared" si="0"/>
        <v>18.63</v>
      </c>
    </row>
    <row r="38" spans="1:9" x14ac:dyDescent="0.25">
      <c r="A38">
        <v>72</v>
      </c>
      <c r="B38" s="1">
        <v>45353</v>
      </c>
      <c r="C38">
        <v>144</v>
      </c>
      <c r="D38">
        <v>23</v>
      </c>
      <c r="E38">
        <v>5</v>
      </c>
      <c r="F38">
        <v>2</v>
      </c>
      <c r="G38" t="s">
        <v>1044</v>
      </c>
      <c r="H38">
        <f>_xlfn.XLOOKUP(D38, productos!$A$2:$A$150, productos!$D$2:$D$150, "No Encontrado", 0)</f>
        <v>8.23</v>
      </c>
      <c r="I38">
        <f t="shared" si="0"/>
        <v>41.150000000000006</v>
      </c>
    </row>
    <row r="39" spans="1:9" x14ac:dyDescent="0.25">
      <c r="A39">
        <v>95</v>
      </c>
      <c r="B39" s="1">
        <v>45354</v>
      </c>
      <c r="C39">
        <v>67</v>
      </c>
      <c r="D39">
        <v>14</v>
      </c>
      <c r="E39">
        <v>5</v>
      </c>
      <c r="F39">
        <v>4</v>
      </c>
      <c r="G39" t="s">
        <v>1044</v>
      </c>
      <c r="H39">
        <f>_xlfn.XLOOKUP(D39, productos!$A$2:$A$150, productos!$D$2:$D$150, "No Encontrado", 0)</f>
        <v>12.36</v>
      </c>
      <c r="I39">
        <f t="shared" si="0"/>
        <v>61.8</v>
      </c>
    </row>
    <row r="40" spans="1:9" x14ac:dyDescent="0.25">
      <c r="A40">
        <v>275</v>
      </c>
      <c r="B40" s="1">
        <v>45355</v>
      </c>
      <c r="C40">
        <v>27</v>
      </c>
      <c r="D40">
        <v>11</v>
      </c>
      <c r="E40">
        <v>5</v>
      </c>
      <c r="F40">
        <v>4</v>
      </c>
      <c r="G40" t="s">
        <v>1044</v>
      </c>
      <c r="H40">
        <f>_xlfn.XLOOKUP(D40, productos!$A$2:$A$150, productos!$D$2:$D$150, "No Encontrado", 0)</f>
        <v>11.23</v>
      </c>
      <c r="I40">
        <f t="shared" si="0"/>
        <v>56.150000000000006</v>
      </c>
    </row>
    <row r="41" spans="1:9" x14ac:dyDescent="0.25">
      <c r="A41">
        <v>298</v>
      </c>
      <c r="B41" s="1">
        <v>45355</v>
      </c>
      <c r="C41">
        <v>158</v>
      </c>
      <c r="D41">
        <v>1</v>
      </c>
      <c r="E41">
        <v>3</v>
      </c>
      <c r="F41">
        <v>4</v>
      </c>
      <c r="G41" t="s">
        <v>1044</v>
      </c>
      <c r="H41">
        <f>_xlfn.XLOOKUP(D41, productos!$A$2:$A$150, productos!$D$2:$D$150, "No Encontrado", 0)</f>
        <v>12.24</v>
      </c>
      <c r="I41">
        <f t="shared" si="0"/>
        <v>36.72</v>
      </c>
    </row>
    <row r="42" spans="1:9" x14ac:dyDescent="0.25">
      <c r="A42">
        <v>290</v>
      </c>
      <c r="B42" s="1">
        <v>45356</v>
      </c>
      <c r="C42">
        <v>123</v>
      </c>
      <c r="D42">
        <v>31</v>
      </c>
      <c r="E42">
        <v>4</v>
      </c>
      <c r="F42">
        <v>2</v>
      </c>
      <c r="G42" t="s">
        <v>1044</v>
      </c>
      <c r="H42">
        <f>_xlfn.XLOOKUP(D42, productos!$A$2:$A$150, productos!$D$2:$D$150, "No Encontrado", 0)</f>
        <v>5.24</v>
      </c>
      <c r="I42">
        <f t="shared" si="0"/>
        <v>20.96</v>
      </c>
    </row>
    <row r="43" spans="1:9" x14ac:dyDescent="0.25">
      <c r="A43">
        <v>28</v>
      </c>
      <c r="B43" s="1">
        <v>45357</v>
      </c>
      <c r="C43">
        <v>240</v>
      </c>
      <c r="D43">
        <v>23</v>
      </c>
      <c r="E43">
        <v>3</v>
      </c>
      <c r="F43">
        <v>3</v>
      </c>
      <c r="G43" t="s">
        <v>1045</v>
      </c>
      <c r="H43">
        <f>_xlfn.XLOOKUP(D43, productos!$A$2:$A$150, productos!$D$2:$D$150, "No Encontrado", 0)</f>
        <v>8.23</v>
      </c>
      <c r="I43">
        <f t="shared" si="0"/>
        <v>24.69</v>
      </c>
    </row>
    <row r="44" spans="1:9" x14ac:dyDescent="0.25">
      <c r="A44">
        <v>311</v>
      </c>
      <c r="B44" s="1">
        <v>45357</v>
      </c>
      <c r="C44">
        <v>68</v>
      </c>
      <c r="D44">
        <v>24</v>
      </c>
      <c r="E44">
        <v>6</v>
      </c>
      <c r="F44">
        <v>4</v>
      </c>
      <c r="G44" t="s">
        <v>1044</v>
      </c>
      <c r="H44">
        <f>_xlfn.XLOOKUP(D44, productos!$A$2:$A$150, productos!$D$2:$D$150, "No Encontrado", 0)</f>
        <v>13.54</v>
      </c>
      <c r="I44">
        <f t="shared" si="0"/>
        <v>81.239999999999995</v>
      </c>
    </row>
    <row r="45" spans="1:9" x14ac:dyDescent="0.25">
      <c r="A45">
        <v>210</v>
      </c>
      <c r="B45" s="1">
        <v>45358</v>
      </c>
      <c r="C45">
        <v>215</v>
      </c>
      <c r="D45">
        <v>35</v>
      </c>
      <c r="E45">
        <v>3</v>
      </c>
      <c r="F45">
        <v>4</v>
      </c>
      <c r="G45" t="s">
        <v>1044</v>
      </c>
      <c r="H45">
        <f>_xlfn.XLOOKUP(D45, productos!$A$2:$A$150, productos!$D$2:$D$150, "No Encontrado", 0)</f>
        <v>4.25</v>
      </c>
      <c r="I45">
        <f t="shared" si="0"/>
        <v>12.75</v>
      </c>
    </row>
    <row r="46" spans="1:9" x14ac:dyDescent="0.25">
      <c r="A46">
        <v>54</v>
      </c>
      <c r="B46" s="1">
        <v>45359</v>
      </c>
      <c r="C46">
        <v>108</v>
      </c>
      <c r="D46">
        <v>13</v>
      </c>
      <c r="E46">
        <v>1</v>
      </c>
      <c r="F46">
        <v>2</v>
      </c>
      <c r="G46" t="s">
        <v>1044</v>
      </c>
      <c r="H46">
        <f>_xlfn.XLOOKUP(D46, productos!$A$2:$A$150, productos!$D$2:$D$150, "No Encontrado", 0)</f>
        <v>12.56</v>
      </c>
      <c r="I46">
        <f t="shared" si="0"/>
        <v>12.56</v>
      </c>
    </row>
    <row r="47" spans="1:9" x14ac:dyDescent="0.25">
      <c r="A47">
        <v>35</v>
      </c>
      <c r="B47" s="1">
        <v>45361</v>
      </c>
      <c r="C47">
        <v>62</v>
      </c>
      <c r="D47">
        <v>9</v>
      </c>
      <c r="E47">
        <v>6</v>
      </c>
      <c r="F47">
        <v>3</v>
      </c>
      <c r="G47" t="s">
        <v>1044</v>
      </c>
      <c r="H47">
        <f>_xlfn.XLOOKUP(D47, productos!$A$2:$A$150, productos!$D$2:$D$150, "No Encontrado", 0)</f>
        <v>18.559999999999999</v>
      </c>
      <c r="I47">
        <f t="shared" si="0"/>
        <v>111.35999999999999</v>
      </c>
    </row>
    <row r="48" spans="1:9" x14ac:dyDescent="0.25">
      <c r="A48">
        <v>152</v>
      </c>
      <c r="B48" s="1">
        <v>45361</v>
      </c>
      <c r="C48">
        <v>64</v>
      </c>
      <c r="D48">
        <v>11</v>
      </c>
      <c r="E48">
        <v>5</v>
      </c>
      <c r="F48">
        <v>4</v>
      </c>
      <c r="G48" t="s">
        <v>1044</v>
      </c>
      <c r="H48">
        <f>_xlfn.XLOOKUP(D48, productos!$A$2:$A$150, productos!$D$2:$D$150, "No Encontrado", 0)</f>
        <v>11.23</v>
      </c>
      <c r="I48">
        <f t="shared" si="0"/>
        <v>56.150000000000006</v>
      </c>
    </row>
    <row r="49" spans="1:9" x14ac:dyDescent="0.25">
      <c r="A49">
        <v>31</v>
      </c>
      <c r="B49" s="1">
        <v>45365</v>
      </c>
      <c r="C49">
        <v>267</v>
      </c>
      <c r="D49">
        <v>2</v>
      </c>
      <c r="E49">
        <v>1</v>
      </c>
      <c r="F49">
        <v>3</v>
      </c>
      <c r="G49" t="s">
        <v>1044</v>
      </c>
      <c r="H49">
        <f>_xlfn.XLOOKUP(D49, productos!$A$2:$A$150, productos!$D$2:$D$150, "No Encontrado", 0)</f>
        <v>5.21</v>
      </c>
      <c r="I49">
        <f t="shared" si="0"/>
        <v>5.21</v>
      </c>
    </row>
    <row r="50" spans="1:9" x14ac:dyDescent="0.25">
      <c r="A50">
        <v>124</v>
      </c>
      <c r="B50" s="1">
        <v>45365</v>
      </c>
      <c r="C50">
        <v>173</v>
      </c>
      <c r="D50">
        <v>13</v>
      </c>
      <c r="E50">
        <v>5</v>
      </c>
      <c r="F50">
        <v>3</v>
      </c>
      <c r="G50" t="s">
        <v>1044</v>
      </c>
      <c r="H50">
        <f>_xlfn.XLOOKUP(D50, productos!$A$2:$A$150, productos!$D$2:$D$150, "No Encontrado", 0)</f>
        <v>12.56</v>
      </c>
      <c r="I50">
        <f t="shared" si="0"/>
        <v>62.800000000000004</v>
      </c>
    </row>
    <row r="51" spans="1:9" x14ac:dyDescent="0.25">
      <c r="A51">
        <v>225</v>
      </c>
      <c r="B51" s="1">
        <v>45365</v>
      </c>
      <c r="C51">
        <v>104</v>
      </c>
      <c r="D51">
        <v>38</v>
      </c>
      <c r="E51">
        <v>3</v>
      </c>
      <c r="F51">
        <v>4</v>
      </c>
      <c r="G51" t="s">
        <v>1045</v>
      </c>
      <c r="H51">
        <f>_xlfn.XLOOKUP(D51, productos!$A$2:$A$150, productos!$D$2:$D$150, "No Encontrado", 0)</f>
        <v>6.21</v>
      </c>
      <c r="I51">
        <f t="shared" si="0"/>
        <v>18.63</v>
      </c>
    </row>
    <row r="52" spans="1:9" x14ac:dyDescent="0.25">
      <c r="A52">
        <v>40</v>
      </c>
      <c r="B52" s="1">
        <v>45367</v>
      </c>
      <c r="C52">
        <v>125</v>
      </c>
      <c r="D52">
        <v>34</v>
      </c>
      <c r="E52">
        <v>6</v>
      </c>
      <c r="F52">
        <v>1</v>
      </c>
      <c r="G52" t="s">
        <v>1044</v>
      </c>
      <c r="H52">
        <f>_xlfn.XLOOKUP(D52, productos!$A$2:$A$150, productos!$D$2:$D$150, "No Encontrado", 0)</f>
        <v>5.45</v>
      </c>
      <c r="I52">
        <f t="shared" si="0"/>
        <v>32.700000000000003</v>
      </c>
    </row>
    <row r="53" spans="1:9" x14ac:dyDescent="0.25">
      <c r="A53">
        <v>42</v>
      </c>
      <c r="B53" s="1">
        <v>45367</v>
      </c>
      <c r="C53">
        <v>259</v>
      </c>
      <c r="D53">
        <v>32</v>
      </c>
      <c r="E53">
        <v>5</v>
      </c>
      <c r="F53">
        <v>5</v>
      </c>
      <c r="G53" t="s">
        <v>1044</v>
      </c>
      <c r="H53">
        <f>_xlfn.XLOOKUP(D53, productos!$A$2:$A$150, productos!$D$2:$D$150, "No Encontrado", 0)</f>
        <v>6.25</v>
      </c>
      <c r="I53">
        <f t="shared" si="0"/>
        <v>31.25</v>
      </c>
    </row>
    <row r="54" spans="1:9" x14ac:dyDescent="0.25">
      <c r="A54">
        <v>199</v>
      </c>
      <c r="B54" s="1">
        <v>45367</v>
      </c>
      <c r="C54">
        <v>226</v>
      </c>
      <c r="D54">
        <v>30</v>
      </c>
      <c r="E54">
        <v>4</v>
      </c>
      <c r="F54">
        <v>4</v>
      </c>
      <c r="G54" t="s">
        <v>1045</v>
      </c>
      <c r="H54">
        <f>_xlfn.XLOOKUP(D54, productos!$A$2:$A$150, productos!$D$2:$D$150, "No Encontrado", 0)</f>
        <v>13.54</v>
      </c>
      <c r="I54">
        <f t="shared" si="0"/>
        <v>54.16</v>
      </c>
    </row>
    <row r="55" spans="1:9" x14ac:dyDescent="0.25">
      <c r="A55">
        <v>18</v>
      </c>
      <c r="B55" s="1">
        <v>45368</v>
      </c>
      <c r="C55">
        <v>179</v>
      </c>
      <c r="D55">
        <v>10</v>
      </c>
      <c r="E55">
        <v>3</v>
      </c>
      <c r="F55">
        <v>4</v>
      </c>
      <c r="G55" t="s">
        <v>1044</v>
      </c>
      <c r="H55">
        <f>_xlfn.XLOOKUP(D55, productos!$A$2:$A$150, productos!$D$2:$D$150, "No Encontrado", 0)</f>
        <v>14.25</v>
      </c>
      <c r="I55">
        <f t="shared" si="0"/>
        <v>42.75</v>
      </c>
    </row>
    <row r="56" spans="1:9" x14ac:dyDescent="0.25">
      <c r="A56">
        <v>44</v>
      </c>
      <c r="B56" s="1">
        <v>45370</v>
      </c>
      <c r="C56">
        <v>122</v>
      </c>
      <c r="D56">
        <v>30</v>
      </c>
      <c r="E56">
        <v>2</v>
      </c>
      <c r="F56">
        <v>4</v>
      </c>
      <c r="G56" t="s">
        <v>1044</v>
      </c>
      <c r="H56">
        <f>_xlfn.XLOOKUP(D56, productos!$A$2:$A$150, productos!$D$2:$D$150, "No Encontrado", 0)</f>
        <v>13.54</v>
      </c>
      <c r="I56">
        <f t="shared" si="0"/>
        <v>27.08</v>
      </c>
    </row>
    <row r="57" spans="1:9" x14ac:dyDescent="0.25">
      <c r="A57">
        <v>208</v>
      </c>
      <c r="B57" s="1">
        <v>45370</v>
      </c>
      <c r="C57">
        <v>66</v>
      </c>
      <c r="D57">
        <v>29</v>
      </c>
      <c r="E57">
        <v>3</v>
      </c>
      <c r="F57">
        <v>1</v>
      </c>
      <c r="G57" t="s">
        <v>1044</v>
      </c>
      <c r="H57">
        <f>_xlfn.XLOOKUP(D57, productos!$A$2:$A$150, productos!$D$2:$D$150, "No Encontrado", 0)</f>
        <v>11.54</v>
      </c>
      <c r="I57">
        <f t="shared" si="0"/>
        <v>34.619999999999997</v>
      </c>
    </row>
    <row r="58" spans="1:9" x14ac:dyDescent="0.25">
      <c r="A58">
        <v>118</v>
      </c>
      <c r="B58" s="1">
        <v>45371</v>
      </c>
      <c r="C58">
        <v>26</v>
      </c>
      <c r="D58">
        <v>25</v>
      </c>
      <c r="E58">
        <v>4</v>
      </c>
      <c r="F58">
        <v>5</v>
      </c>
      <c r="G58" t="s">
        <v>1044</v>
      </c>
      <c r="H58">
        <f>_xlfn.XLOOKUP(D58, productos!$A$2:$A$150, productos!$D$2:$D$150, "No Encontrado", 0)</f>
        <v>15.45</v>
      </c>
      <c r="I58">
        <f t="shared" si="0"/>
        <v>61.8</v>
      </c>
    </row>
    <row r="59" spans="1:9" x14ac:dyDescent="0.25">
      <c r="A59">
        <v>113</v>
      </c>
      <c r="B59" s="1">
        <v>45376</v>
      </c>
      <c r="C59">
        <v>72</v>
      </c>
      <c r="D59">
        <v>19</v>
      </c>
      <c r="E59">
        <v>1</v>
      </c>
      <c r="F59">
        <v>3</v>
      </c>
      <c r="G59" t="s">
        <v>1045</v>
      </c>
      <c r="H59">
        <f>_xlfn.XLOOKUP(D59, productos!$A$2:$A$150, productos!$D$2:$D$150, "No Encontrado", 0)</f>
        <v>6.54</v>
      </c>
      <c r="I59">
        <f t="shared" si="0"/>
        <v>6.54</v>
      </c>
    </row>
    <row r="60" spans="1:9" x14ac:dyDescent="0.25">
      <c r="A60">
        <v>170</v>
      </c>
      <c r="B60" s="1">
        <v>45376</v>
      </c>
      <c r="C60">
        <v>269</v>
      </c>
      <c r="D60">
        <v>20</v>
      </c>
      <c r="E60">
        <v>3</v>
      </c>
      <c r="F60">
        <v>4</v>
      </c>
      <c r="G60" t="s">
        <v>1044</v>
      </c>
      <c r="H60">
        <f>_xlfn.XLOOKUP(D60, productos!$A$2:$A$150, productos!$D$2:$D$150, "No Encontrado", 0)</f>
        <v>4.25</v>
      </c>
      <c r="I60">
        <f t="shared" si="0"/>
        <v>12.75</v>
      </c>
    </row>
    <row r="61" spans="1:9" x14ac:dyDescent="0.25">
      <c r="A61">
        <v>172</v>
      </c>
      <c r="B61" s="1">
        <v>45378</v>
      </c>
      <c r="C61">
        <v>268</v>
      </c>
      <c r="D61">
        <v>24</v>
      </c>
      <c r="E61">
        <v>6</v>
      </c>
      <c r="F61">
        <v>1</v>
      </c>
      <c r="G61" t="s">
        <v>1044</v>
      </c>
      <c r="H61">
        <f>_xlfn.XLOOKUP(D61, productos!$A$2:$A$150, productos!$D$2:$D$150, "No Encontrado", 0)</f>
        <v>13.54</v>
      </c>
      <c r="I61">
        <f t="shared" si="0"/>
        <v>81.239999999999995</v>
      </c>
    </row>
    <row r="62" spans="1:9" x14ac:dyDescent="0.25">
      <c r="A62">
        <v>295</v>
      </c>
      <c r="B62" s="1">
        <v>45378</v>
      </c>
      <c r="C62">
        <v>223</v>
      </c>
      <c r="D62">
        <v>32</v>
      </c>
      <c r="E62">
        <v>6</v>
      </c>
      <c r="F62">
        <v>2</v>
      </c>
      <c r="G62" t="s">
        <v>1044</v>
      </c>
      <c r="H62">
        <f>_xlfn.XLOOKUP(D62, productos!$A$2:$A$150, productos!$D$2:$D$150, "No Encontrado", 0)</f>
        <v>6.25</v>
      </c>
      <c r="I62">
        <f t="shared" si="0"/>
        <v>37.5</v>
      </c>
    </row>
    <row r="63" spans="1:9" x14ac:dyDescent="0.25">
      <c r="A63">
        <v>249</v>
      </c>
      <c r="B63" s="1">
        <v>45379</v>
      </c>
      <c r="C63">
        <v>1</v>
      </c>
      <c r="D63">
        <v>31</v>
      </c>
      <c r="E63">
        <v>2</v>
      </c>
      <c r="F63">
        <v>5</v>
      </c>
      <c r="G63" t="s">
        <v>1045</v>
      </c>
      <c r="H63">
        <f>_xlfn.XLOOKUP(D63, productos!$A$2:$A$150, productos!$D$2:$D$150, "No Encontrado", 0)</f>
        <v>5.24</v>
      </c>
      <c r="I63">
        <f t="shared" si="0"/>
        <v>10.48</v>
      </c>
    </row>
    <row r="64" spans="1:9" x14ac:dyDescent="0.25">
      <c r="A64">
        <v>279</v>
      </c>
      <c r="B64" s="1">
        <v>45379</v>
      </c>
      <c r="C64">
        <v>54</v>
      </c>
      <c r="D64">
        <v>10</v>
      </c>
      <c r="E64">
        <v>4</v>
      </c>
      <c r="F64">
        <v>4</v>
      </c>
      <c r="G64" t="s">
        <v>1044</v>
      </c>
      <c r="H64">
        <f>_xlfn.XLOOKUP(D64, productos!$A$2:$A$150, productos!$D$2:$D$150, "No Encontrado", 0)</f>
        <v>14.25</v>
      </c>
      <c r="I64">
        <f t="shared" si="0"/>
        <v>57</v>
      </c>
    </row>
    <row r="65" spans="1:9" x14ac:dyDescent="0.25">
      <c r="A65">
        <v>321</v>
      </c>
      <c r="B65" s="1">
        <v>45379</v>
      </c>
      <c r="C65">
        <v>205</v>
      </c>
      <c r="D65">
        <v>35</v>
      </c>
      <c r="E65">
        <v>4</v>
      </c>
      <c r="F65">
        <v>5</v>
      </c>
      <c r="G65" t="s">
        <v>1044</v>
      </c>
      <c r="H65">
        <f>_xlfn.XLOOKUP(D65, productos!$A$2:$A$150, productos!$D$2:$D$150, "No Encontrado", 0)</f>
        <v>4.25</v>
      </c>
      <c r="I65">
        <f t="shared" si="0"/>
        <v>17</v>
      </c>
    </row>
    <row r="66" spans="1:9" x14ac:dyDescent="0.25">
      <c r="A66">
        <v>86</v>
      </c>
      <c r="B66" s="1">
        <v>45380</v>
      </c>
      <c r="C66">
        <v>188</v>
      </c>
      <c r="D66">
        <v>30</v>
      </c>
      <c r="E66">
        <v>2</v>
      </c>
      <c r="F66">
        <v>4</v>
      </c>
      <c r="G66" t="s">
        <v>1044</v>
      </c>
      <c r="H66">
        <f>_xlfn.XLOOKUP(D66, productos!$A$2:$A$150, productos!$D$2:$D$150, "No Encontrado", 0)</f>
        <v>13.54</v>
      </c>
      <c r="I66">
        <f t="shared" si="0"/>
        <v>27.08</v>
      </c>
    </row>
    <row r="67" spans="1:9" x14ac:dyDescent="0.25">
      <c r="A67">
        <v>189</v>
      </c>
      <c r="B67" s="1">
        <v>45380</v>
      </c>
      <c r="C67">
        <v>170</v>
      </c>
      <c r="D67">
        <v>30</v>
      </c>
      <c r="E67">
        <v>1</v>
      </c>
      <c r="F67">
        <v>1</v>
      </c>
      <c r="G67" t="s">
        <v>1044</v>
      </c>
      <c r="H67">
        <f>_xlfn.XLOOKUP(D67, productos!$A$2:$A$150, productos!$D$2:$D$150, "No Encontrado", 0)</f>
        <v>13.54</v>
      </c>
      <c r="I67">
        <f t="shared" ref="I67:I130" si="1">E67*H67</f>
        <v>13.54</v>
      </c>
    </row>
    <row r="68" spans="1:9" x14ac:dyDescent="0.25">
      <c r="A68">
        <v>265</v>
      </c>
      <c r="B68" s="1">
        <v>45381</v>
      </c>
      <c r="C68">
        <v>257</v>
      </c>
      <c r="D68">
        <v>28</v>
      </c>
      <c r="E68">
        <v>1</v>
      </c>
      <c r="F68">
        <v>1</v>
      </c>
      <c r="G68" t="s">
        <v>1044</v>
      </c>
      <c r="H68">
        <f>_xlfn.XLOOKUP(D68, productos!$A$2:$A$150, productos!$D$2:$D$150, "No Encontrado", 0)</f>
        <v>9.4499999999999993</v>
      </c>
      <c r="I68">
        <f t="shared" si="1"/>
        <v>9.4499999999999993</v>
      </c>
    </row>
    <row r="69" spans="1:9" x14ac:dyDescent="0.25">
      <c r="A69">
        <v>209</v>
      </c>
      <c r="B69" s="1">
        <v>45382</v>
      </c>
      <c r="C69">
        <v>311</v>
      </c>
      <c r="D69">
        <v>35</v>
      </c>
      <c r="E69">
        <v>3</v>
      </c>
      <c r="F69">
        <v>2</v>
      </c>
      <c r="G69" t="s">
        <v>1044</v>
      </c>
      <c r="H69">
        <f>_xlfn.XLOOKUP(D69, productos!$A$2:$A$150, productos!$D$2:$D$150, "No Encontrado", 0)</f>
        <v>4.25</v>
      </c>
      <c r="I69">
        <f t="shared" si="1"/>
        <v>12.75</v>
      </c>
    </row>
    <row r="70" spans="1:9" x14ac:dyDescent="0.25">
      <c r="A70">
        <v>293</v>
      </c>
      <c r="B70" s="1">
        <v>45382</v>
      </c>
      <c r="C70">
        <v>310</v>
      </c>
      <c r="D70">
        <v>35</v>
      </c>
      <c r="E70">
        <v>3</v>
      </c>
      <c r="F70">
        <v>3</v>
      </c>
      <c r="G70" t="s">
        <v>1044</v>
      </c>
      <c r="H70">
        <f>_xlfn.XLOOKUP(D70, productos!$A$2:$A$150, productos!$D$2:$D$150, "No Encontrado", 0)</f>
        <v>4.25</v>
      </c>
      <c r="I70">
        <f t="shared" si="1"/>
        <v>12.75</v>
      </c>
    </row>
    <row r="71" spans="1:9" x14ac:dyDescent="0.25">
      <c r="A71">
        <v>160</v>
      </c>
      <c r="B71" s="1">
        <v>45384</v>
      </c>
      <c r="C71">
        <v>106</v>
      </c>
      <c r="D71">
        <v>25</v>
      </c>
      <c r="E71">
        <v>6</v>
      </c>
      <c r="F71">
        <v>4</v>
      </c>
      <c r="G71" t="s">
        <v>1044</v>
      </c>
      <c r="H71">
        <f>_xlfn.XLOOKUP(D71, productos!$A$2:$A$150, productos!$D$2:$D$150, "No Encontrado", 0)</f>
        <v>15.45</v>
      </c>
      <c r="I71">
        <f t="shared" si="1"/>
        <v>92.699999999999989</v>
      </c>
    </row>
    <row r="72" spans="1:9" x14ac:dyDescent="0.25">
      <c r="A72">
        <v>232</v>
      </c>
      <c r="B72" s="1">
        <v>45385</v>
      </c>
      <c r="C72">
        <v>144</v>
      </c>
      <c r="D72">
        <v>24</v>
      </c>
      <c r="E72">
        <v>3</v>
      </c>
      <c r="F72">
        <v>3</v>
      </c>
      <c r="G72" t="s">
        <v>1044</v>
      </c>
      <c r="H72">
        <f>_xlfn.XLOOKUP(D72, productos!$A$2:$A$150, productos!$D$2:$D$150, "No Encontrado", 0)</f>
        <v>13.54</v>
      </c>
      <c r="I72">
        <f t="shared" si="1"/>
        <v>40.619999999999997</v>
      </c>
    </row>
    <row r="73" spans="1:9" x14ac:dyDescent="0.25">
      <c r="A73">
        <v>245</v>
      </c>
      <c r="B73" s="1">
        <v>45387</v>
      </c>
      <c r="C73">
        <v>101</v>
      </c>
      <c r="D73">
        <v>32</v>
      </c>
      <c r="E73">
        <v>4</v>
      </c>
      <c r="F73">
        <v>4</v>
      </c>
      <c r="G73" t="s">
        <v>1044</v>
      </c>
      <c r="H73">
        <f>_xlfn.XLOOKUP(D73, productos!$A$2:$A$150, productos!$D$2:$D$150, "No Encontrado", 0)</f>
        <v>6.25</v>
      </c>
      <c r="I73">
        <f t="shared" si="1"/>
        <v>25</v>
      </c>
    </row>
    <row r="74" spans="1:9" x14ac:dyDescent="0.25">
      <c r="A74">
        <v>10</v>
      </c>
      <c r="B74" s="1">
        <v>45388</v>
      </c>
      <c r="C74">
        <v>232</v>
      </c>
      <c r="D74">
        <v>37</v>
      </c>
      <c r="E74">
        <v>2</v>
      </c>
      <c r="F74">
        <v>3</v>
      </c>
      <c r="G74" t="s">
        <v>1044</v>
      </c>
      <c r="H74">
        <f>_xlfn.XLOOKUP(D74, productos!$A$2:$A$150, productos!$D$2:$D$150, "No Encontrado", 0)</f>
        <v>3.65</v>
      </c>
      <c r="I74">
        <f t="shared" si="1"/>
        <v>7.3</v>
      </c>
    </row>
    <row r="75" spans="1:9" x14ac:dyDescent="0.25">
      <c r="A75">
        <v>108</v>
      </c>
      <c r="B75" s="1">
        <v>45390</v>
      </c>
      <c r="C75">
        <v>153</v>
      </c>
      <c r="D75">
        <v>17</v>
      </c>
      <c r="E75">
        <v>4</v>
      </c>
      <c r="F75">
        <v>4</v>
      </c>
      <c r="G75" t="s">
        <v>1044</v>
      </c>
      <c r="H75">
        <f>_xlfn.XLOOKUP(D75, productos!$A$2:$A$150, productos!$D$2:$D$150, "No Encontrado", 0)</f>
        <v>6.54</v>
      </c>
      <c r="I75">
        <f t="shared" si="1"/>
        <v>26.16</v>
      </c>
    </row>
    <row r="76" spans="1:9" x14ac:dyDescent="0.25">
      <c r="A76">
        <v>80</v>
      </c>
      <c r="B76" s="1">
        <v>45391</v>
      </c>
      <c r="C76">
        <v>313</v>
      </c>
      <c r="D76">
        <v>25</v>
      </c>
      <c r="E76">
        <v>6</v>
      </c>
      <c r="F76">
        <v>3</v>
      </c>
      <c r="G76" t="s">
        <v>1044</v>
      </c>
      <c r="H76">
        <f>_xlfn.XLOOKUP(D76, productos!$A$2:$A$150, productos!$D$2:$D$150, "No Encontrado", 0)</f>
        <v>15.45</v>
      </c>
      <c r="I76">
        <f t="shared" si="1"/>
        <v>92.699999999999989</v>
      </c>
    </row>
    <row r="77" spans="1:9" x14ac:dyDescent="0.25">
      <c r="A77">
        <v>102</v>
      </c>
      <c r="B77" s="1">
        <v>45392</v>
      </c>
      <c r="C77">
        <v>282</v>
      </c>
      <c r="D77">
        <v>26</v>
      </c>
      <c r="E77">
        <v>1</v>
      </c>
      <c r="F77">
        <v>3</v>
      </c>
      <c r="G77" t="s">
        <v>1044</v>
      </c>
      <c r="H77">
        <f>_xlfn.XLOOKUP(D77, productos!$A$2:$A$150, productos!$D$2:$D$150, "No Encontrado", 0)</f>
        <v>9.5399999999999991</v>
      </c>
      <c r="I77">
        <f t="shared" si="1"/>
        <v>9.5399999999999991</v>
      </c>
    </row>
    <row r="78" spans="1:9" x14ac:dyDescent="0.25">
      <c r="A78">
        <v>239</v>
      </c>
      <c r="B78" s="1">
        <v>45392</v>
      </c>
      <c r="C78">
        <v>197</v>
      </c>
      <c r="D78">
        <v>37</v>
      </c>
      <c r="E78">
        <v>6</v>
      </c>
      <c r="F78">
        <v>5</v>
      </c>
      <c r="G78" t="s">
        <v>1044</v>
      </c>
      <c r="H78">
        <f>_xlfn.XLOOKUP(D78, productos!$A$2:$A$150, productos!$D$2:$D$150, "No Encontrado", 0)</f>
        <v>3.65</v>
      </c>
      <c r="I78">
        <f t="shared" si="1"/>
        <v>21.9</v>
      </c>
    </row>
    <row r="79" spans="1:9" x14ac:dyDescent="0.25">
      <c r="A79">
        <v>248</v>
      </c>
      <c r="B79" s="1">
        <v>45396</v>
      </c>
      <c r="C79">
        <v>132</v>
      </c>
      <c r="D79">
        <v>3</v>
      </c>
      <c r="E79">
        <v>5</v>
      </c>
      <c r="F79">
        <v>5</v>
      </c>
      <c r="G79" t="s">
        <v>1045</v>
      </c>
      <c r="H79">
        <f>_xlfn.XLOOKUP(D79, productos!$A$2:$A$150, productos!$D$2:$D$150, "No Encontrado", 0)</f>
        <v>17.23</v>
      </c>
      <c r="I79">
        <f t="shared" si="1"/>
        <v>86.15</v>
      </c>
    </row>
    <row r="80" spans="1:9" x14ac:dyDescent="0.25">
      <c r="A80">
        <v>15</v>
      </c>
      <c r="B80" s="1">
        <v>45397</v>
      </c>
      <c r="C80">
        <v>219</v>
      </c>
      <c r="D80">
        <v>34</v>
      </c>
      <c r="E80">
        <v>4</v>
      </c>
      <c r="F80">
        <v>3</v>
      </c>
      <c r="G80" t="s">
        <v>1044</v>
      </c>
      <c r="H80">
        <f>_xlfn.XLOOKUP(D80, productos!$A$2:$A$150, productos!$D$2:$D$150, "No Encontrado", 0)</f>
        <v>5.45</v>
      </c>
      <c r="I80">
        <f t="shared" si="1"/>
        <v>21.8</v>
      </c>
    </row>
    <row r="81" spans="1:9" x14ac:dyDescent="0.25">
      <c r="A81">
        <v>82</v>
      </c>
      <c r="B81" s="1">
        <v>45397</v>
      </c>
      <c r="C81">
        <v>246</v>
      </c>
      <c r="D81">
        <v>27</v>
      </c>
      <c r="E81">
        <v>3</v>
      </c>
      <c r="F81">
        <v>4</v>
      </c>
      <c r="G81" t="s">
        <v>1044</v>
      </c>
      <c r="H81">
        <f>_xlfn.XLOOKUP(D81, productos!$A$2:$A$150, productos!$D$2:$D$150, "No Encontrado", 0)</f>
        <v>6.21</v>
      </c>
      <c r="I81">
        <f t="shared" si="1"/>
        <v>18.63</v>
      </c>
    </row>
    <row r="82" spans="1:9" x14ac:dyDescent="0.25">
      <c r="A82">
        <v>194</v>
      </c>
      <c r="B82" s="1">
        <v>45397</v>
      </c>
      <c r="C82">
        <v>45</v>
      </c>
      <c r="D82">
        <v>32</v>
      </c>
      <c r="E82">
        <v>5</v>
      </c>
      <c r="F82">
        <v>5</v>
      </c>
      <c r="G82" t="s">
        <v>1045</v>
      </c>
      <c r="H82">
        <f>_xlfn.XLOOKUP(D82, productos!$A$2:$A$150, productos!$D$2:$D$150, "No Encontrado", 0)</f>
        <v>6.25</v>
      </c>
      <c r="I82">
        <f t="shared" si="1"/>
        <v>31.25</v>
      </c>
    </row>
    <row r="83" spans="1:9" x14ac:dyDescent="0.25">
      <c r="A83">
        <v>135</v>
      </c>
      <c r="B83" s="1">
        <v>45403</v>
      </c>
      <c r="C83">
        <v>254</v>
      </c>
      <c r="D83">
        <v>38</v>
      </c>
      <c r="E83">
        <v>2</v>
      </c>
      <c r="F83">
        <v>5</v>
      </c>
      <c r="G83" t="s">
        <v>1044</v>
      </c>
      <c r="H83">
        <f>_xlfn.XLOOKUP(D83, productos!$A$2:$A$150, productos!$D$2:$D$150, "No Encontrado", 0)</f>
        <v>6.21</v>
      </c>
      <c r="I83">
        <f t="shared" si="1"/>
        <v>12.42</v>
      </c>
    </row>
    <row r="84" spans="1:9" x14ac:dyDescent="0.25">
      <c r="A84">
        <v>259</v>
      </c>
      <c r="B84" s="1">
        <v>45403</v>
      </c>
      <c r="C84">
        <v>288</v>
      </c>
      <c r="D84">
        <v>32</v>
      </c>
      <c r="E84">
        <v>3</v>
      </c>
      <c r="F84">
        <v>2</v>
      </c>
      <c r="G84" t="s">
        <v>1044</v>
      </c>
      <c r="H84">
        <f>_xlfn.XLOOKUP(D84, productos!$A$2:$A$150, productos!$D$2:$D$150, "No Encontrado", 0)</f>
        <v>6.25</v>
      </c>
      <c r="I84">
        <f t="shared" si="1"/>
        <v>18.75</v>
      </c>
    </row>
    <row r="85" spans="1:9" x14ac:dyDescent="0.25">
      <c r="A85">
        <v>61</v>
      </c>
      <c r="B85" s="1">
        <v>45405</v>
      </c>
      <c r="C85">
        <v>319</v>
      </c>
      <c r="D85">
        <v>6</v>
      </c>
      <c r="E85">
        <v>2</v>
      </c>
      <c r="F85">
        <v>1</v>
      </c>
      <c r="G85" t="s">
        <v>1044</v>
      </c>
      <c r="H85">
        <f>_xlfn.XLOOKUP(D85, productos!$A$2:$A$150, productos!$D$2:$D$150, "No Encontrado", 0)</f>
        <v>28.56</v>
      </c>
      <c r="I85">
        <f t="shared" si="1"/>
        <v>57.12</v>
      </c>
    </row>
    <row r="86" spans="1:9" x14ac:dyDescent="0.25">
      <c r="A86">
        <v>119</v>
      </c>
      <c r="B86" s="1">
        <v>45406</v>
      </c>
      <c r="C86">
        <v>55</v>
      </c>
      <c r="D86">
        <v>21</v>
      </c>
      <c r="E86">
        <v>4</v>
      </c>
      <c r="F86">
        <v>5</v>
      </c>
      <c r="G86" t="s">
        <v>1044</v>
      </c>
      <c r="H86">
        <f>_xlfn.XLOOKUP(D86, productos!$A$2:$A$150, productos!$D$2:$D$150, "No Encontrado", 0)</f>
        <v>3.25</v>
      </c>
      <c r="I86">
        <f t="shared" si="1"/>
        <v>13</v>
      </c>
    </row>
    <row r="87" spans="1:9" x14ac:dyDescent="0.25">
      <c r="A87">
        <v>87</v>
      </c>
      <c r="B87" s="1">
        <v>45407</v>
      </c>
      <c r="C87">
        <v>152</v>
      </c>
      <c r="D87">
        <v>26</v>
      </c>
      <c r="E87">
        <v>6</v>
      </c>
      <c r="F87">
        <v>5</v>
      </c>
      <c r="G87" t="s">
        <v>1044</v>
      </c>
      <c r="H87">
        <f>_xlfn.XLOOKUP(D87, productos!$A$2:$A$150, productos!$D$2:$D$150, "No Encontrado", 0)</f>
        <v>9.5399999999999991</v>
      </c>
      <c r="I87">
        <f t="shared" si="1"/>
        <v>57.239999999999995</v>
      </c>
    </row>
    <row r="88" spans="1:9" x14ac:dyDescent="0.25">
      <c r="A88">
        <v>251</v>
      </c>
      <c r="B88" s="1">
        <v>45407</v>
      </c>
      <c r="C88">
        <v>158</v>
      </c>
      <c r="D88">
        <v>4</v>
      </c>
      <c r="E88">
        <v>1</v>
      </c>
      <c r="F88">
        <v>4</v>
      </c>
      <c r="G88" t="s">
        <v>1044</v>
      </c>
      <c r="H88">
        <f>_xlfn.XLOOKUP(D88, productos!$A$2:$A$150, productos!$D$2:$D$150, "No Encontrado", 0)</f>
        <v>19.23</v>
      </c>
      <c r="I88">
        <f t="shared" si="1"/>
        <v>19.23</v>
      </c>
    </row>
    <row r="89" spans="1:9" x14ac:dyDescent="0.25">
      <c r="A89">
        <v>217</v>
      </c>
      <c r="B89" s="1">
        <v>45411</v>
      </c>
      <c r="C89">
        <v>100</v>
      </c>
      <c r="D89">
        <v>17</v>
      </c>
      <c r="E89">
        <v>4</v>
      </c>
      <c r="F89">
        <v>5</v>
      </c>
      <c r="G89" t="s">
        <v>1044</v>
      </c>
      <c r="H89">
        <f>_xlfn.XLOOKUP(D89, productos!$A$2:$A$150, productos!$D$2:$D$150, "No Encontrado", 0)</f>
        <v>6.54</v>
      </c>
      <c r="I89">
        <f t="shared" si="1"/>
        <v>26.16</v>
      </c>
    </row>
    <row r="90" spans="1:9" x14ac:dyDescent="0.25">
      <c r="A90">
        <v>169</v>
      </c>
      <c r="B90" s="1">
        <v>45414</v>
      </c>
      <c r="C90">
        <v>279</v>
      </c>
      <c r="D90">
        <v>24</v>
      </c>
      <c r="E90">
        <v>4</v>
      </c>
      <c r="F90">
        <v>2</v>
      </c>
      <c r="G90" t="s">
        <v>1044</v>
      </c>
      <c r="H90">
        <f>_xlfn.XLOOKUP(D90, productos!$A$2:$A$150, productos!$D$2:$D$150, "No Encontrado", 0)</f>
        <v>13.54</v>
      </c>
      <c r="I90">
        <f t="shared" si="1"/>
        <v>54.16</v>
      </c>
    </row>
    <row r="91" spans="1:9" x14ac:dyDescent="0.25">
      <c r="A91">
        <v>287</v>
      </c>
      <c r="B91" s="1">
        <v>45414</v>
      </c>
      <c r="C91">
        <v>70</v>
      </c>
      <c r="D91">
        <v>23</v>
      </c>
      <c r="E91">
        <v>6</v>
      </c>
      <c r="F91">
        <v>2</v>
      </c>
      <c r="G91" t="s">
        <v>1044</v>
      </c>
      <c r="H91">
        <f>_xlfn.XLOOKUP(D91, productos!$A$2:$A$150, productos!$D$2:$D$150, "No Encontrado", 0)</f>
        <v>8.23</v>
      </c>
      <c r="I91">
        <f t="shared" si="1"/>
        <v>49.38</v>
      </c>
    </row>
    <row r="92" spans="1:9" x14ac:dyDescent="0.25">
      <c r="A92">
        <v>60</v>
      </c>
      <c r="B92" s="1">
        <v>45415</v>
      </c>
      <c r="C92">
        <v>53</v>
      </c>
      <c r="D92">
        <v>20</v>
      </c>
      <c r="E92">
        <v>5</v>
      </c>
      <c r="F92">
        <v>3</v>
      </c>
      <c r="G92" t="s">
        <v>1044</v>
      </c>
      <c r="H92">
        <f>_xlfn.XLOOKUP(D92, productos!$A$2:$A$150, productos!$D$2:$D$150, "No Encontrado", 0)</f>
        <v>4.25</v>
      </c>
      <c r="I92">
        <f t="shared" si="1"/>
        <v>21.25</v>
      </c>
    </row>
    <row r="93" spans="1:9" x14ac:dyDescent="0.25">
      <c r="A93">
        <v>270</v>
      </c>
      <c r="B93" s="1">
        <v>45415</v>
      </c>
      <c r="C93">
        <v>326</v>
      </c>
      <c r="D93">
        <v>8</v>
      </c>
      <c r="E93">
        <v>6</v>
      </c>
      <c r="F93">
        <v>5</v>
      </c>
      <c r="G93" t="s">
        <v>1045</v>
      </c>
      <c r="H93">
        <f>_xlfn.XLOOKUP(D93, productos!$A$2:$A$150, productos!$D$2:$D$150, "No Encontrado", 0)</f>
        <v>16.21</v>
      </c>
      <c r="I93">
        <f t="shared" si="1"/>
        <v>97.26</v>
      </c>
    </row>
    <row r="94" spans="1:9" x14ac:dyDescent="0.25">
      <c r="A94">
        <v>103</v>
      </c>
      <c r="B94" s="1">
        <v>45416</v>
      </c>
      <c r="C94">
        <v>98</v>
      </c>
      <c r="D94">
        <v>17</v>
      </c>
      <c r="E94">
        <v>3</v>
      </c>
      <c r="F94">
        <v>5</v>
      </c>
      <c r="G94" t="s">
        <v>1044</v>
      </c>
      <c r="H94">
        <f>_xlfn.XLOOKUP(D94, productos!$A$2:$A$150, productos!$D$2:$D$150, "No Encontrado", 0)</f>
        <v>6.54</v>
      </c>
      <c r="I94">
        <f t="shared" si="1"/>
        <v>19.62</v>
      </c>
    </row>
    <row r="95" spans="1:9" x14ac:dyDescent="0.25">
      <c r="A95">
        <v>238</v>
      </c>
      <c r="B95" s="1">
        <v>45416</v>
      </c>
      <c r="C95">
        <v>25</v>
      </c>
      <c r="D95">
        <v>2</v>
      </c>
      <c r="E95">
        <v>2</v>
      </c>
      <c r="F95">
        <v>3</v>
      </c>
      <c r="G95" t="s">
        <v>1044</v>
      </c>
      <c r="H95">
        <f>_xlfn.XLOOKUP(D95, productos!$A$2:$A$150, productos!$D$2:$D$150, "No Encontrado", 0)</f>
        <v>5.21</v>
      </c>
      <c r="I95">
        <f t="shared" si="1"/>
        <v>10.42</v>
      </c>
    </row>
    <row r="96" spans="1:9" x14ac:dyDescent="0.25">
      <c r="A96">
        <v>174</v>
      </c>
      <c r="B96" s="1">
        <v>45417</v>
      </c>
      <c r="C96">
        <v>264</v>
      </c>
      <c r="D96">
        <v>2</v>
      </c>
      <c r="E96">
        <v>1</v>
      </c>
      <c r="F96">
        <v>3</v>
      </c>
      <c r="G96" t="s">
        <v>1044</v>
      </c>
      <c r="H96">
        <f>_xlfn.XLOOKUP(D96, productos!$A$2:$A$150, productos!$D$2:$D$150, "No Encontrado", 0)</f>
        <v>5.21</v>
      </c>
      <c r="I96">
        <f t="shared" si="1"/>
        <v>5.21</v>
      </c>
    </row>
    <row r="97" spans="1:9" x14ac:dyDescent="0.25">
      <c r="A97">
        <v>140</v>
      </c>
      <c r="B97" s="1">
        <v>45419</v>
      </c>
      <c r="C97">
        <v>220</v>
      </c>
      <c r="D97">
        <v>29</v>
      </c>
      <c r="E97">
        <v>3</v>
      </c>
      <c r="F97">
        <v>5</v>
      </c>
      <c r="G97" t="s">
        <v>1044</v>
      </c>
      <c r="H97">
        <f>_xlfn.XLOOKUP(D97, productos!$A$2:$A$150, productos!$D$2:$D$150, "No Encontrado", 0)</f>
        <v>11.54</v>
      </c>
      <c r="I97">
        <f t="shared" si="1"/>
        <v>34.619999999999997</v>
      </c>
    </row>
    <row r="98" spans="1:9" x14ac:dyDescent="0.25">
      <c r="A98">
        <v>90</v>
      </c>
      <c r="B98" s="1">
        <v>45422</v>
      </c>
      <c r="C98">
        <v>161</v>
      </c>
      <c r="D98">
        <v>16</v>
      </c>
      <c r="E98">
        <v>3</v>
      </c>
      <c r="F98">
        <v>5</v>
      </c>
      <c r="G98" t="s">
        <v>1044</v>
      </c>
      <c r="H98">
        <f>_xlfn.XLOOKUP(D98, productos!$A$2:$A$150, productos!$D$2:$D$150, "No Encontrado", 0)</f>
        <v>15.23</v>
      </c>
      <c r="I98">
        <f t="shared" si="1"/>
        <v>45.69</v>
      </c>
    </row>
    <row r="99" spans="1:9" x14ac:dyDescent="0.25">
      <c r="A99">
        <v>182</v>
      </c>
      <c r="B99" s="1">
        <v>45422</v>
      </c>
      <c r="C99">
        <v>301</v>
      </c>
      <c r="D99">
        <v>13</v>
      </c>
      <c r="E99">
        <v>2</v>
      </c>
      <c r="F99">
        <v>3</v>
      </c>
      <c r="G99" t="s">
        <v>1044</v>
      </c>
      <c r="H99">
        <f>_xlfn.XLOOKUP(D99, productos!$A$2:$A$150, productos!$D$2:$D$150, "No Encontrado", 0)</f>
        <v>12.56</v>
      </c>
      <c r="I99">
        <f t="shared" si="1"/>
        <v>25.12</v>
      </c>
    </row>
    <row r="100" spans="1:9" x14ac:dyDescent="0.25">
      <c r="A100">
        <v>303</v>
      </c>
      <c r="B100" s="1">
        <v>45422</v>
      </c>
      <c r="C100">
        <v>216</v>
      </c>
      <c r="D100">
        <v>3</v>
      </c>
      <c r="E100">
        <v>1</v>
      </c>
      <c r="F100">
        <v>4</v>
      </c>
      <c r="G100" t="s">
        <v>1045</v>
      </c>
      <c r="H100">
        <f>_xlfn.XLOOKUP(D100, productos!$A$2:$A$150, productos!$D$2:$D$150, "No Encontrado", 0)</f>
        <v>17.23</v>
      </c>
      <c r="I100">
        <f t="shared" si="1"/>
        <v>17.23</v>
      </c>
    </row>
    <row r="101" spans="1:9" x14ac:dyDescent="0.25">
      <c r="A101">
        <v>63</v>
      </c>
      <c r="B101" s="1">
        <v>45423</v>
      </c>
      <c r="C101">
        <v>180</v>
      </c>
      <c r="D101">
        <v>33</v>
      </c>
      <c r="E101">
        <v>1</v>
      </c>
      <c r="F101">
        <v>3</v>
      </c>
      <c r="G101" t="s">
        <v>1044</v>
      </c>
      <c r="H101">
        <f>_xlfn.XLOOKUP(D101, productos!$A$2:$A$150, productos!$D$2:$D$150, "No Encontrado", 0)</f>
        <v>8.5399999999999991</v>
      </c>
      <c r="I101">
        <f t="shared" si="1"/>
        <v>8.5399999999999991</v>
      </c>
    </row>
    <row r="102" spans="1:9" x14ac:dyDescent="0.25">
      <c r="A102">
        <v>214</v>
      </c>
      <c r="B102" s="1">
        <v>45423</v>
      </c>
      <c r="C102">
        <v>9</v>
      </c>
      <c r="D102">
        <v>8</v>
      </c>
      <c r="E102">
        <v>2</v>
      </c>
      <c r="F102">
        <v>5</v>
      </c>
      <c r="G102" t="s">
        <v>1044</v>
      </c>
      <c r="H102">
        <f>_xlfn.XLOOKUP(D102, productos!$A$2:$A$150, productos!$D$2:$D$150, "No Encontrado", 0)</f>
        <v>16.21</v>
      </c>
      <c r="I102">
        <f t="shared" si="1"/>
        <v>32.42</v>
      </c>
    </row>
    <row r="103" spans="1:9" x14ac:dyDescent="0.25">
      <c r="A103">
        <v>49</v>
      </c>
      <c r="B103" s="1">
        <v>45424</v>
      </c>
      <c r="C103">
        <v>237</v>
      </c>
      <c r="D103">
        <v>26</v>
      </c>
      <c r="E103">
        <v>3</v>
      </c>
      <c r="F103">
        <v>5</v>
      </c>
      <c r="G103" t="s">
        <v>1045</v>
      </c>
      <c r="H103">
        <f>_xlfn.XLOOKUP(D103, productos!$A$2:$A$150, productos!$D$2:$D$150, "No Encontrado", 0)</f>
        <v>9.5399999999999991</v>
      </c>
      <c r="I103">
        <f t="shared" si="1"/>
        <v>28.619999999999997</v>
      </c>
    </row>
    <row r="104" spans="1:9" x14ac:dyDescent="0.25">
      <c r="A104">
        <v>37</v>
      </c>
      <c r="B104" s="1">
        <v>45426</v>
      </c>
      <c r="C104">
        <v>12</v>
      </c>
      <c r="D104">
        <v>36</v>
      </c>
      <c r="E104">
        <v>5</v>
      </c>
      <c r="F104">
        <v>4</v>
      </c>
      <c r="G104" t="s">
        <v>1044</v>
      </c>
      <c r="H104">
        <f>_xlfn.XLOOKUP(D104, productos!$A$2:$A$150, productos!$D$2:$D$150, "No Encontrado", 0)</f>
        <v>3.25</v>
      </c>
      <c r="I104">
        <f t="shared" si="1"/>
        <v>16.25</v>
      </c>
    </row>
    <row r="105" spans="1:9" x14ac:dyDescent="0.25">
      <c r="A105">
        <v>58</v>
      </c>
      <c r="B105" s="1">
        <v>45431</v>
      </c>
      <c r="C105">
        <v>157</v>
      </c>
      <c r="D105">
        <v>5</v>
      </c>
      <c r="E105">
        <v>6</v>
      </c>
      <c r="F105">
        <v>1</v>
      </c>
      <c r="G105" t="s">
        <v>1045</v>
      </c>
      <c r="H105">
        <f>_xlfn.XLOOKUP(D105, productos!$A$2:$A$150, productos!$D$2:$D$150, "No Encontrado", 0)</f>
        <v>5.65</v>
      </c>
      <c r="I105">
        <f t="shared" si="1"/>
        <v>33.900000000000006</v>
      </c>
    </row>
    <row r="106" spans="1:9" x14ac:dyDescent="0.25">
      <c r="A106">
        <v>263</v>
      </c>
      <c r="B106" s="1">
        <v>45431</v>
      </c>
      <c r="C106">
        <v>130</v>
      </c>
      <c r="D106">
        <v>2</v>
      </c>
      <c r="E106">
        <v>1</v>
      </c>
      <c r="F106">
        <v>3</v>
      </c>
      <c r="G106" t="s">
        <v>1044</v>
      </c>
      <c r="H106">
        <f>_xlfn.XLOOKUP(D106, productos!$A$2:$A$150, productos!$D$2:$D$150, "No Encontrado", 0)</f>
        <v>5.21</v>
      </c>
      <c r="I106">
        <f t="shared" si="1"/>
        <v>5.21</v>
      </c>
    </row>
    <row r="107" spans="1:9" x14ac:dyDescent="0.25">
      <c r="A107">
        <v>180</v>
      </c>
      <c r="B107" s="1">
        <v>45432</v>
      </c>
      <c r="C107">
        <v>58</v>
      </c>
      <c r="D107">
        <v>25</v>
      </c>
      <c r="E107">
        <v>3</v>
      </c>
      <c r="F107">
        <v>3</v>
      </c>
      <c r="G107" t="s">
        <v>1045</v>
      </c>
      <c r="H107">
        <f>_xlfn.XLOOKUP(D107, productos!$A$2:$A$150, productos!$D$2:$D$150, "No Encontrado", 0)</f>
        <v>15.45</v>
      </c>
      <c r="I107">
        <f t="shared" si="1"/>
        <v>46.349999999999994</v>
      </c>
    </row>
    <row r="108" spans="1:9" x14ac:dyDescent="0.25">
      <c r="A108">
        <v>227</v>
      </c>
      <c r="B108" s="1">
        <v>45432</v>
      </c>
      <c r="C108">
        <v>271</v>
      </c>
      <c r="D108">
        <v>7</v>
      </c>
      <c r="E108">
        <v>6</v>
      </c>
      <c r="F108">
        <v>2</v>
      </c>
      <c r="G108" t="s">
        <v>1044</v>
      </c>
      <c r="H108">
        <f>_xlfn.XLOOKUP(D108, productos!$A$2:$A$150, productos!$D$2:$D$150, "No Encontrado", 0)</f>
        <v>11.25</v>
      </c>
      <c r="I108">
        <f t="shared" si="1"/>
        <v>67.5</v>
      </c>
    </row>
    <row r="109" spans="1:9" x14ac:dyDescent="0.25">
      <c r="A109">
        <v>141</v>
      </c>
      <c r="B109" s="1">
        <v>45434</v>
      </c>
      <c r="C109">
        <v>115</v>
      </c>
      <c r="D109">
        <v>5</v>
      </c>
      <c r="E109">
        <v>3</v>
      </c>
      <c r="F109">
        <v>5</v>
      </c>
      <c r="G109" t="s">
        <v>1045</v>
      </c>
      <c r="H109">
        <f>_xlfn.XLOOKUP(D109, productos!$A$2:$A$150, productos!$D$2:$D$150, "No Encontrado", 0)</f>
        <v>5.65</v>
      </c>
      <c r="I109">
        <f t="shared" si="1"/>
        <v>16.950000000000003</v>
      </c>
    </row>
    <row r="110" spans="1:9" x14ac:dyDescent="0.25">
      <c r="A110">
        <v>51</v>
      </c>
      <c r="B110" s="1">
        <v>45435</v>
      </c>
      <c r="C110">
        <v>189</v>
      </c>
      <c r="D110">
        <v>18</v>
      </c>
      <c r="E110">
        <v>2</v>
      </c>
      <c r="F110">
        <v>4</v>
      </c>
      <c r="G110" t="s">
        <v>1044</v>
      </c>
      <c r="H110">
        <f>_xlfn.XLOOKUP(D110, productos!$A$2:$A$150, productos!$D$2:$D$150, "No Encontrado", 0)</f>
        <v>7.25</v>
      </c>
      <c r="I110">
        <f t="shared" si="1"/>
        <v>14.5</v>
      </c>
    </row>
    <row r="111" spans="1:9" x14ac:dyDescent="0.25">
      <c r="A111">
        <v>133</v>
      </c>
      <c r="B111" s="1">
        <v>45435</v>
      </c>
      <c r="C111">
        <v>220</v>
      </c>
      <c r="D111">
        <v>22</v>
      </c>
      <c r="E111">
        <v>4</v>
      </c>
      <c r="F111">
        <v>4</v>
      </c>
      <c r="G111" t="s">
        <v>1044</v>
      </c>
      <c r="H111">
        <f>_xlfn.XLOOKUP(D111, productos!$A$2:$A$150, productos!$D$2:$D$150, "No Encontrado", 0)</f>
        <v>4.21</v>
      </c>
      <c r="I111">
        <f t="shared" si="1"/>
        <v>16.84</v>
      </c>
    </row>
    <row r="112" spans="1:9" x14ac:dyDescent="0.25">
      <c r="A112">
        <v>286</v>
      </c>
      <c r="B112" s="1">
        <v>45435</v>
      </c>
      <c r="C112">
        <v>317</v>
      </c>
      <c r="D112">
        <v>12</v>
      </c>
      <c r="E112">
        <v>4</v>
      </c>
      <c r="F112">
        <v>4</v>
      </c>
      <c r="G112" t="s">
        <v>1044</v>
      </c>
      <c r="H112">
        <f>_xlfn.XLOOKUP(D112, productos!$A$2:$A$150, productos!$D$2:$D$150, "No Encontrado", 0)</f>
        <v>8.1199999999999992</v>
      </c>
      <c r="I112">
        <f t="shared" si="1"/>
        <v>32.479999999999997</v>
      </c>
    </row>
    <row r="113" spans="1:9" x14ac:dyDescent="0.25">
      <c r="A113">
        <v>128</v>
      </c>
      <c r="B113" s="1">
        <v>45436</v>
      </c>
      <c r="C113">
        <v>214</v>
      </c>
      <c r="D113">
        <v>2</v>
      </c>
      <c r="E113">
        <v>4</v>
      </c>
      <c r="F113">
        <v>5</v>
      </c>
      <c r="G113" t="s">
        <v>1044</v>
      </c>
      <c r="H113">
        <f>_xlfn.XLOOKUP(D113, productos!$A$2:$A$150, productos!$D$2:$D$150, "No Encontrado", 0)</f>
        <v>5.21</v>
      </c>
      <c r="I113">
        <f t="shared" si="1"/>
        <v>20.84</v>
      </c>
    </row>
    <row r="114" spans="1:9" x14ac:dyDescent="0.25">
      <c r="A114">
        <v>281</v>
      </c>
      <c r="B114" s="1">
        <v>45436</v>
      </c>
      <c r="C114">
        <v>2</v>
      </c>
      <c r="D114">
        <v>5</v>
      </c>
      <c r="E114">
        <v>5</v>
      </c>
      <c r="F114">
        <v>4</v>
      </c>
      <c r="G114" t="s">
        <v>1045</v>
      </c>
      <c r="H114">
        <f>_xlfn.XLOOKUP(D114, productos!$A$2:$A$150, productos!$D$2:$D$150, "No Encontrado", 0)</f>
        <v>5.65</v>
      </c>
      <c r="I114">
        <f t="shared" si="1"/>
        <v>28.25</v>
      </c>
    </row>
    <row r="115" spans="1:9" x14ac:dyDescent="0.25">
      <c r="A115">
        <v>30</v>
      </c>
      <c r="B115" s="1">
        <v>45437</v>
      </c>
      <c r="C115">
        <v>46</v>
      </c>
      <c r="D115">
        <v>30</v>
      </c>
      <c r="E115">
        <v>1</v>
      </c>
      <c r="F115">
        <v>5</v>
      </c>
      <c r="G115" t="s">
        <v>1044</v>
      </c>
      <c r="H115">
        <f>_xlfn.XLOOKUP(D115, productos!$A$2:$A$150, productos!$D$2:$D$150, "No Encontrado", 0)</f>
        <v>13.54</v>
      </c>
      <c r="I115">
        <f t="shared" si="1"/>
        <v>13.54</v>
      </c>
    </row>
    <row r="116" spans="1:9" x14ac:dyDescent="0.25">
      <c r="A116">
        <v>190</v>
      </c>
      <c r="B116" s="1">
        <v>45438</v>
      </c>
      <c r="C116">
        <v>21</v>
      </c>
      <c r="D116">
        <v>23</v>
      </c>
      <c r="E116">
        <v>1</v>
      </c>
      <c r="F116">
        <v>5</v>
      </c>
      <c r="G116" t="s">
        <v>1044</v>
      </c>
      <c r="H116">
        <f>_xlfn.XLOOKUP(D116, productos!$A$2:$A$150, productos!$D$2:$D$150, "No Encontrado", 0)</f>
        <v>8.23</v>
      </c>
      <c r="I116">
        <f t="shared" si="1"/>
        <v>8.23</v>
      </c>
    </row>
    <row r="117" spans="1:9" x14ac:dyDescent="0.25">
      <c r="A117">
        <v>70</v>
      </c>
      <c r="B117" s="1">
        <v>45439</v>
      </c>
      <c r="C117">
        <v>138</v>
      </c>
      <c r="D117">
        <v>33</v>
      </c>
      <c r="E117">
        <v>4</v>
      </c>
      <c r="F117">
        <v>3</v>
      </c>
      <c r="G117" t="s">
        <v>1045</v>
      </c>
      <c r="H117">
        <f>_xlfn.XLOOKUP(D117, productos!$A$2:$A$150, productos!$D$2:$D$150, "No Encontrado", 0)</f>
        <v>8.5399999999999991</v>
      </c>
      <c r="I117">
        <f t="shared" si="1"/>
        <v>34.159999999999997</v>
      </c>
    </row>
    <row r="118" spans="1:9" x14ac:dyDescent="0.25">
      <c r="A118">
        <v>6</v>
      </c>
      <c r="B118" s="1">
        <v>45442</v>
      </c>
      <c r="C118">
        <v>70</v>
      </c>
      <c r="D118">
        <v>27</v>
      </c>
      <c r="E118">
        <v>5</v>
      </c>
      <c r="F118">
        <v>4</v>
      </c>
      <c r="G118" t="s">
        <v>1045</v>
      </c>
      <c r="H118">
        <f>_xlfn.XLOOKUP(D118, productos!$A$2:$A$150, productos!$D$2:$D$150, "No Encontrado", 0)</f>
        <v>6.21</v>
      </c>
      <c r="I118">
        <f t="shared" si="1"/>
        <v>31.05</v>
      </c>
    </row>
    <row r="119" spans="1:9" x14ac:dyDescent="0.25">
      <c r="A119">
        <v>185</v>
      </c>
      <c r="B119" s="1">
        <v>45442</v>
      </c>
      <c r="C119">
        <v>97</v>
      </c>
      <c r="D119">
        <v>28</v>
      </c>
      <c r="E119">
        <v>5</v>
      </c>
      <c r="F119">
        <v>4</v>
      </c>
      <c r="G119" t="s">
        <v>1044</v>
      </c>
      <c r="H119">
        <f>_xlfn.XLOOKUP(D119, productos!$A$2:$A$150, productos!$D$2:$D$150, "No Encontrado", 0)</f>
        <v>9.4499999999999993</v>
      </c>
      <c r="I119">
        <f t="shared" si="1"/>
        <v>47.25</v>
      </c>
    </row>
    <row r="120" spans="1:9" x14ac:dyDescent="0.25">
      <c r="A120">
        <v>197</v>
      </c>
      <c r="B120" s="1">
        <v>45442</v>
      </c>
      <c r="C120">
        <v>211</v>
      </c>
      <c r="D120">
        <v>26</v>
      </c>
      <c r="E120">
        <v>1</v>
      </c>
      <c r="F120">
        <v>4</v>
      </c>
      <c r="G120" t="s">
        <v>1044</v>
      </c>
      <c r="H120">
        <f>_xlfn.XLOOKUP(D120, productos!$A$2:$A$150, productos!$D$2:$D$150, "No Encontrado", 0)</f>
        <v>9.5399999999999991</v>
      </c>
      <c r="I120">
        <f t="shared" si="1"/>
        <v>9.5399999999999991</v>
      </c>
    </row>
    <row r="121" spans="1:9" x14ac:dyDescent="0.25">
      <c r="A121">
        <v>187</v>
      </c>
      <c r="B121" s="1">
        <v>45443</v>
      </c>
      <c r="C121">
        <v>118</v>
      </c>
      <c r="D121">
        <v>8</v>
      </c>
      <c r="E121">
        <v>5</v>
      </c>
      <c r="F121">
        <v>2</v>
      </c>
      <c r="G121" t="s">
        <v>1044</v>
      </c>
      <c r="H121">
        <f>_xlfn.XLOOKUP(D121, productos!$A$2:$A$150, productos!$D$2:$D$150, "No Encontrado", 0)</f>
        <v>16.21</v>
      </c>
      <c r="I121">
        <f t="shared" si="1"/>
        <v>81.050000000000011</v>
      </c>
    </row>
    <row r="122" spans="1:9" x14ac:dyDescent="0.25">
      <c r="A122">
        <v>2</v>
      </c>
      <c r="B122" s="1">
        <v>45444</v>
      </c>
      <c r="C122">
        <v>37</v>
      </c>
      <c r="D122">
        <v>15</v>
      </c>
      <c r="E122">
        <v>3</v>
      </c>
      <c r="F122">
        <v>1</v>
      </c>
      <c r="G122" t="s">
        <v>1044</v>
      </c>
      <c r="H122">
        <f>_xlfn.XLOOKUP(D122, productos!$A$2:$A$150, productos!$D$2:$D$150, "No Encontrado", 0)</f>
        <v>3.51</v>
      </c>
      <c r="I122">
        <f t="shared" si="1"/>
        <v>10.53</v>
      </c>
    </row>
    <row r="123" spans="1:9" x14ac:dyDescent="0.25">
      <c r="A123">
        <v>163</v>
      </c>
      <c r="B123" s="1">
        <v>45444</v>
      </c>
      <c r="C123">
        <v>165</v>
      </c>
      <c r="D123">
        <v>11</v>
      </c>
      <c r="E123">
        <v>6</v>
      </c>
      <c r="F123">
        <v>2</v>
      </c>
      <c r="G123" t="s">
        <v>1045</v>
      </c>
      <c r="H123">
        <f>_xlfn.XLOOKUP(D123, productos!$A$2:$A$150, productos!$D$2:$D$150, "No Encontrado", 0)</f>
        <v>11.23</v>
      </c>
      <c r="I123">
        <f t="shared" si="1"/>
        <v>67.38</v>
      </c>
    </row>
    <row r="124" spans="1:9" x14ac:dyDescent="0.25">
      <c r="A124">
        <v>45</v>
      </c>
      <c r="B124" s="1">
        <v>45445</v>
      </c>
      <c r="C124">
        <v>11</v>
      </c>
      <c r="D124">
        <v>30</v>
      </c>
      <c r="E124">
        <v>3</v>
      </c>
      <c r="F124">
        <v>5</v>
      </c>
      <c r="G124" t="s">
        <v>1044</v>
      </c>
      <c r="H124">
        <f>_xlfn.XLOOKUP(D124, productos!$A$2:$A$150, productos!$D$2:$D$150, "No Encontrado", 0)</f>
        <v>13.54</v>
      </c>
      <c r="I124">
        <f t="shared" si="1"/>
        <v>40.619999999999997</v>
      </c>
    </row>
    <row r="125" spans="1:9" x14ac:dyDescent="0.25">
      <c r="A125">
        <v>177</v>
      </c>
      <c r="B125" s="1">
        <v>45445</v>
      </c>
      <c r="C125">
        <v>316</v>
      </c>
      <c r="D125">
        <v>21</v>
      </c>
      <c r="E125">
        <v>5</v>
      </c>
      <c r="F125">
        <v>4</v>
      </c>
      <c r="G125" t="s">
        <v>1044</v>
      </c>
      <c r="H125">
        <f>_xlfn.XLOOKUP(D125, productos!$A$2:$A$150, productos!$D$2:$D$150, "No Encontrado", 0)</f>
        <v>3.25</v>
      </c>
      <c r="I125">
        <f t="shared" si="1"/>
        <v>16.25</v>
      </c>
    </row>
    <row r="126" spans="1:9" x14ac:dyDescent="0.25">
      <c r="A126">
        <v>284</v>
      </c>
      <c r="B126" s="1">
        <v>45446</v>
      </c>
      <c r="C126">
        <v>176</v>
      </c>
      <c r="D126">
        <v>36</v>
      </c>
      <c r="E126">
        <v>5</v>
      </c>
      <c r="F126">
        <v>4</v>
      </c>
      <c r="G126" t="s">
        <v>1044</v>
      </c>
      <c r="H126">
        <f>_xlfn.XLOOKUP(D126, productos!$A$2:$A$150, productos!$D$2:$D$150, "No Encontrado", 0)</f>
        <v>3.25</v>
      </c>
      <c r="I126">
        <f t="shared" si="1"/>
        <v>16.25</v>
      </c>
    </row>
    <row r="127" spans="1:9" x14ac:dyDescent="0.25">
      <c r="A127">
        <v>260</v>
      </c>
      <c r="B127" s="1">
        <v>45449</v>
      </c>
      <c r="C127">
        <v>17</v>
      </c>
      <c r="D127">
        <v>14</v>
      </c>
      <c r="E127">
        <v>1</v>
      </c>
      <c r="F127">
        <v>3</v>
      </c>
      <c r="G127" t="s">
        <v>1044</v>
      </c>
      <c r="H127">
        <f>_xlfn.XLOOKUP(D127, productos!$A$2:$A$150, productos!$D$2:$D$150, "No Encontrado", 0)</f>
        <v>12.36</v>
      </c>
      <c r="I127">
        <f t="shared" si="1"/>
        <v>12.36</v>
      </c>
    </row>
    <row r="128" spans="1:9" x14ac:dyDescent="0.25">
      <c r="A128">
        <v>300</v>
      </c>
      <c r="B128" s="1">
        <v>45449</v>
      </c>
      <c r="C128">
        <v>258</v>
      </c>
      <c r="D128">
        <v>2</v>
      </c>
      <c r="E128">
        <v>3</v>
      </c>
      <c r="F128">
        <v>3</v>
      </c>
      <c r="G128" t="s">
        <v>1044</v>
      </c>
      <c r="H128">
        <f>_xlfn.XLOOKUP(D128, productos!$A$2:$A$150, productos!$D$2:$D$150, "No Encontrado", 0)</f>
        <v>5.21</v>
      </c>
      <c r="I128">
        <f t="shared" si="1"/>
        <v>15.629999999999999</v>
      </c>
    </row>
    <row r="129" spans="1:9" x14ac:dyDescent="0.25">
      <c r="A129">
        <v>22</v>
      </c>
      <c r="B129" s="1">
        <v>45451</v>
      </c>
      <c r="C129">
        <v>257</v>
      </c>
      <c r="D129">
        <v>31</v>
      </c>
      <c r="E129">
        <v>6</v>
      </c>
      <c r="F129">
        <v>2</v>
      </c>
      <c r="G129" t="s">
        <v>1045</v>
      </c>
      <c r="H129">
        <f>_xlfn.XLOOKUP(D129, productos!$A$2:$A$150, productos!$D$2:$D$150, "No Encontrado", 0)</f>
        <v>5.24</v>
      </c>
      <c r="I129">
        <f t="shared" si="1"/>
        <v>31.44</v>
      </c>
    </row>
    <row r="130" spans="1:9" x14ac:dyDescent="0.25">
      <c r="A130">
        <v>41</v>
      </c>
      <c r="B130" s="1">
        <v>45451</v>
      </c>
      <c r="C130">
        <v>38</v>
      </c>
      <c r="D130">
        <v>30</v>
      </c>
      <c r="E130">
        <v>4</v>
      </c>
      <c r="F130">
        <v>5</v>
      </c>
      <c r="G130" t="s">
        <v>1044</v>
      </c>
      <c r="H130">
        <f>_xlfn.XLOOKUP(D130, productos!$A$2:$A$150, productos!$D$2:$D$150, "No Encontrado", 0)</f>
        <v>13.54</v>
      </c>
      <c r="I130">
        <f t="shared" si="1"/>
        <v>54.16</v>
      </c>
    </row>
    <row r="131" spans="1:9" x14ac:dyDescent="0.25">
      <c r="A131">
        <v>302</v>
      </c>
      <c r="B131" s="1">
        <v>45451</v>
      </c>
      <c r="C131">
        <v>155</v>
      </c>
      <c r="D131">
        <v>14</v>
      </c>
      <c r="E131">
        <v>2</v>
      </c>
      <c r="F131">
        <v>4</v>
      </c>
      <c r="G131" t="s">
        <v>1044</v>
      </c>
      <c r="H131">
        <f>_xlfn.XLOOKUP(D131, productos!$A$2:$A$150, productos!$D$2:$D$150, "No Encontrado", 0)</f>
        <v>12.36</v>
      </c>
      <c r="I131">
        <f t="shared" ref="I131:I194" si="2">E131*H131</f>
        <v>24.72</v>
      </c>
    </row>
    <row r="132" spans="1:9" x14ac:dyDescent="0.25">
      <c r="A132">
        <v>312</v>
      </c>
      <c r="B132" s="1">
        <v>45451</v>
      </c>
      <c r="C132">
        <v>101</v>
      </c>
      <c r="D132">
        <v>38</v>
      </c>
      <c r="E132">
        <v>2</v>
      </c>
      <c r="F132">
        <v>3</v>
      </c>
      <c r="G132" t="s">
        <v>1044</v>
      </c>
      <c r="H132">
        <f>_xlfn.XLOOKUP(D132, productos!$A$2:$A$150, productos!$D$2:$D$150, "No Encontrado", 0)</f>
        <v>6.21</v>
      </c>
      <c r="I132">
        <f t="shared" si="2"/>
        <v>12.42</v>
      </c>
    </row>
    <row r="133" spans="1:9" x14ac:dyDescent="0.25">
      <c r="A133">
        <v>309</v>
      </c>
      <c r="B133" s="1">
        <v>45457</v>
      </c>
      <c r="C133">
        <v>148</v>
      </c>
      <c r="D133">
        <v>33</v>
      </c>
      <c r="E133">
        <v>3</v>
      </c>
      <c r="F133">
        <v>5</v>
      </c>
      <c r="G133" t="s">
        <v>1044</v>
      </c>
      <c r="H133">
        <f>_xlfn.XLOOKUP(D133, productos!$A$2:$A$150, productos!$D$2:$D$150, "No Encontrado", 0)</f>
        <v>8.5399999999999991</v>
      </c>
      <c r="I133">
        <f t="shared" si="2"/>
        <v>25.619999999999997</v>
      </c>
    </row>
    <row r="134" spans="1:9" x14ac:dyDescent="0.25">
      <c r="A134">
        <v>96</v>
      </c>
      <c r="B134" s="1">
        <v>45458</v>
      </c>
      <c r="C134">
        <v>93</v>
      </c>
      <c r="D134">
        <v>14</v>
      </c>
      <c r="E134">
        <v>3</v>
      </c>
      <c r="F134">
        <v>5</v>
      </c>
      <c r="G134" t="s">
        <v>1044</v>
      </c>
      <c r="H134">
        <f>_xlfn.XLOOKUP(D134, productos!$A$2:$A$150, productos!$D$2:$D$150, "No Encontrado", 0)</f>
        <v>12.36</v>
      </c>
      <c r="I134">
        <f t="shared" si="2"/>
        <v>37.08</v>
      </c>
    </row>
    <row r="135" spans="1:9" x14ac:dyDescent="0.25">
      <c r="A135">
        <v>243</v>
      </c>
      <c r="B135" s="1">
        <v>45458</v>
      </c>
      <c r="C135">
        <v>54</v>
      </c>
      <c r="D135">
        <v>32</v>
      </c>
      <c r="E135">
        <v>3</v>
      </c>
      <c r="F135">
        <v>4</v>
      </c>
      <c r="G135" t="s">
        <v>1044</v>
      </c>
      <c r="H135">
        <f>_xlfn.XLOOKUP(D135, productos!$A$2:$A$150, productos!$D$2:$D$150, "No Encontrado", 0)</f>
        <v>6.25</v>
      </c>
      <c r="I135">
        <f t="shared" si="2"/>
        <v>18.75</v>
      </c>
    </row>
    <row r="136" spans="1:9" x14ac:dyDescent="0.25">
      <c r="A136">
        <v>244</v>
      </c>
      <c r="B136" s="1">
        <v>45458</v>
      </c>
      <c r="C136">
        <v>188</v>
      </c>
      <c r="D136">
        <v>7</v>
      </c>
      <c r="E136">
        <v>5</v>
      </c>
      <c r="F136">
        <v>1</v>
      </c>
      <c r="G136" t="s">
        <v>1044</v>
      </c>
      <c r="H136">
        <f>_xlfn.XLOOKUP(D136, productos!$A$2:$A$150, productos!$D$2:$D$150, "No Encontrado", 0)</f>
        <v>11.25</v>
      </c>
      <c r="I136">
        <f t="shared" si="2"/>
        <v>56.25</v>
      </c>
    </row>
    <row r="137" spans="1:9" x14ac:dyDescent="0.25">
      <c r="A137">
        <v>98</v>
      </c>
      <c r="B137" s="1">
        <v>45465</v>
      </c>
      <c r="C137">
        <v>177</v>
      </c>
      <c r="D137">
        <v>20</v>
      </c>
      <c r="E137">
        <v>1</v>
      </c>
      <c r="F137">
        <v>1</v>
      </c>
      <c r="G137" t="s">
        <v>1044</v>
      </c>
      <c r="H137">
        <f>_xlfn.XLOOKUP(D137, productos!$A$2:$A$150, productos!$D$2:$D$150, "No Encontrado", 0)</f>
        <v>4.25</v>
      </c>
      <c r="I137">
        <f t="shared" si="2"/>
        <v>4.25</v>
      </c>
    </row>
    <row r="138" spans="1:9" x14ac:dyDescent="0.25">
      <c r="A138">
        <v>216</v>
      </c>
      <c r="B138" s="1">
        <v>45466</v>
      </c>
      <c r="C138">
        <v>270</v>
      </c>
      <c r="D138">
        <v>8</v>
      </c>
      <c r="E138">
        <v>4</v>
      </c>
      <c r="F138">
        <v>4</v>
      </c>
      <c r="G138" t="s">
        <v>1044</v>
      </c>
      <c r="H138">
        <f>_xlfn.XLOOKUP(D138, productos!$A$2:$A$150, productos!$D$2:$D$150, "No Encontrado", 0)</f>
        <v>16.21</v>
      </c>
      <c r="I138">
        <f t="shared" si="2"/>
        <v>64.84</v>
      </c>
    </row>
    <row r="139" spans="1:9" x14ac:dyDescent="0.25">
      <c r="A139">
        <v>27</v>
      </c>
      <c r="B139" s="1">
        <v>45468</v>
      </c>
      <c r="C139">
        <v>85</v>
      </c>
      <c r="D139">
        <v>25</v>
      </c>
      <c r="E139">
        <v>1</v>
      </c>
      <c r="F139">
        <v>3</v>
      </c>
      <c r="G139" t="s">
        <v>1044</v>
      </c>
      <c r="H139">
        <f>_xlfn.XLOOKUP(D139, productos!$A$2:$A$150, productos!$D$2:$D$150, "No Encontrado", 0)</f>
        <v>15.45</v>
      </c>
      <c r="I139">
        <f t="shared" si="2"/>
        <v>15.45</v>
      </c>
    </row>
    <row r="140" spans="1:9" x14ac:dyDescent="0.25">
      <c r="A140">
        <v>50</v>
      </c>
      <c r="B140" s="1">
        <v>45468</v>
      </c>
      <c r="C140">
        <v>233</v>
      </c>
      <c r="D140">
        <v>23</v>
      </c>
      <c r="E140">
        <v>2</v>
      </c>
      <c r="F140">
        <v>5</v>
      </c>
      <c r="G140" t="s">
        <v>1044</v>
      </c>
      <c r="H140">
        <f>_xlfn.XLOOKUP(D140, productos!$A$2:$A$150, productos!$D$2:$D$150, "No Encontrado", 0)</f>
        <v>8.23</v>
      </c>
      <c r="I140">
        <f t="shared" si="2"/>
        <v>16.46</v>
      </c>
    </row>
    <row r="141" spans="1:9" x14ac:dyDescent="0.25">
      <c r="A141">
        <v>73</v>
      </c>
      <c r="B141" s="1">
        <v>45468</v>
      </c>
      <c r="C141">
        <v>143</v>
      </c>
      <c r="D141">
        <v>26</v>
      </c>
      <c r="E141">
        <v>3</v>
      </c>
      <c r="F141">
        <v>1</v>
      </c>
      <c r="G141" t="s">
        <v>1044</v>
      </c>
      <c r="H141">
        <f>_xlfn.XLOOKUP(D141, productos!$A$2:$A$150, productos!$D$2:$D$150, "No Encontrado", 0)</f>
        <v>9.5399999999999991</v>
      </c>
      <c r="I141">
        <f t="shared" si="2"/>
        <v>28.619999999999997</v>
      </c>
    </row>
    <row r="142" spans="1:9" x14ac:dyDescent="0.25">
      <c r="A142">
        <v>192</v>
      </c>
      <c r="B142" s="1">
        <v>45468</v>
      </c>
      <c r="C142">
        <v>97</v>
      </c>
      <c r="D142">
        <v>27</v>
      </c>
      <c r="E142">
        <v>4</v>
      </c>
      <c r="F142">
        <v>5</v>
      </c>
      <c r="G142" t="s">
        <v>1044</v>
      </c>
      <c r="H142">
        <f>_xlfn.XLOOKUP(D142, productos!$A$2:$A$150, productos!$D$2:$D$150, "No Encontrado", 0)</f>
        <v>6.21</v>
      </c>
      <c r="I142">
        <f t="shared" si="2"/>
        <v>24.84</v>
      </c>
    </row>
    <row r="143" spans="1:9" x14ac:dyDescent="0.25">
      <c r="A143">
        <v>191</v>
      </c>
      <c r="B143" s="1">
        <v>45470</v>
      </c>
      <c r="C143">
        <v>186</v>
      </c>
      <c r="D143">
        <v>11</v>
      </c>
      <c r="E143">
        <v>1</v>
      </c>
      <c r="F143">
        <v>3</v>
      </c>
      <c r="G143" t="s">
        <v>1044</v>
      </c>
      <c r="H143">
        <f>_xlfn.XLOOKUP(D143, productos!$A$2:$A$150, productos!$D$2:$D$150, "No Encontrado", 0)</f>
        <v>11.23</v>
      </c>
      <c r="I143">
        <f t="shared" si="2"/>
        <v>11.23</v>
      </c>
    </row>
    <row r="144" spans="1:9" x14ac:dyDescent="0.25">
      <c r="A144">
        <v>268</v>
      </c>
      <c r="B144" s="1">
        <v>45471</v>
      </c>
      <c r="C144">
        <v>119</v>
      </c>
      <c r="D144">
        <v>32</v>
      </c>
      <c r="E144">
        <v>5</v>
      </c>
      <c r="F144">
        <v>1</v>
      </c>
      <c r="G144" t="s">
        <v>1044</v>
      </c>
      <c r="H144">
        <f>_xlfn.XLOOKUP(D144, productos!$A$2:$A$150, productos!$D$2:$D$150, "No Encontrado", 0)</f>
        <v>6.25</v>
      </c>
      <c r="I144">
        <f t="shared" si="2"/>
        <v>31.25</v>
      </c>
    </row>
    <row r="145" spans="1:9" x14ac:dyDescent="0.25">
      <c r="A145">
        <v>21</v>
      </c>
      <c r="B145" s="1">
        <v>45472</v>
      </c>
      <c r="C145">
        <v>184</v>
      </c>
      <c r="D145">
        <v>27</v>
      </c>
      <c r="E145">
        <v>2</v>
      </c>
      <c r="F145">
        <v>1</v>
      </c>
      <c r="G145" t="s">
        <v>1044</v>
      </c>
      <c r="H145">
        <f>_xlfn.XLOOKUP(D145, productos!$A$2:$A$150, productos!$D$2:$D$150, "No Encontrado", 0)</f>
        <v>6.21</v>
      </c>
      <c r="I145">
        <f t="shared" si="2"/>
        <v>12.42</v>
      </c>
    </row>
    <row r="146" spans="1:9" x14ac:dyDescent="0.25">
      <c r="A146">
        <v>79</v>
      </c>
      <c r="B146" s="1">
        <v>45473</v>
      </c>
      <c r="C146">
        <v>133</v>
      </c>
      <c r="D146">
        <v>24</v>
      </c>
      <c r="E146">
        <v>4</v>
      </c>
      <c r="F146">
        <v>4</v>
      </c>
      <c r="G146" t="s">
        <v>1045</v>
      </c>
      <c r="H146">
        <f>_xlfn.XLOOKUP(D146, productos!$A$2:$A$150, productos!$D$2:$D$150, "No Encontrado", 0)</f>
        <v>13.54</v>
      </c>
      <c r="I146">
        <f t="shared" si="2"/>
        <v>54.16</v>
      </c>
    </row>
    <row r="147" spans="1:9" x14ac:dyDescent="0.25">
      <c r="A147">
        <v>201</v>
      </c>
      <c r="B147" s="1">
        <v>45475</v>
      </c>
      <c r="C147">
        <v>141</v>
      </c>
      <c r="D147">
        <v>14</v>
      </c>
      <c r="E147">
        <v>3</v>
      </c>
      <c r="F147">
        <v>4</v>
      </c>
      <c r="G147" t="s">
        <v>1044</v>
      </c>
      <c r="H147">
        <f>_xlfn.XLOOKUP(D147, productos!$A$2:$A$150, productos!$D$2:$D$150, "No Encontrado", 0)</f>
        <v>12.36</v>
      </c>
      <c r="I147">
        <f t="shared" si="2"/>
        <v>37.08</v>
      </c>
    </row>
    <row r="148" spans="1:9" x14ac:dyDescent="0.25">
      <c r="A148">
        <v>219</v>
      </c>
      <c r="B148" s="1">
        <v>45475</v>
      </c>
      <c r="C148">
        <v>24</v>
      </c>
      <c r="D148">
        <v>23</v>
      </c>
      <c r="E148">
        <v>6</v>
      </c>
      <c r="F148">
        <v>4</v>
      </c>
      <c r="G148" t="s">
        <v>1044</v>
      </c>
      <c r="H148">
        <f>_xlfn.XLOOKUP(D148, productos!$A$2:$A$150, productos!$D$2:$D$150, "No Encontrado", 0)</f>
        <v>8.23</v>
      </c>
      <c r="I148">
        <f t="shared" si="2"/>
        <v>49.38</v>
      </c>
    </row>
    <row r="149" spans="1:9" x14ac:dyDescent="0.25">
      <c r="A149">
        <v>306</v>
      </c>
      <c r="B149" s="1">
        <v>45475</v>
      </c>
      <c r="C149">
        <v>14</v>
      </c>
      <c r="D149">
        <v>38</v>
      </c>
      <c r="E149">
        <v>2</v>
      </c>
      <c r="F149">
        <v>5</v>
      </c>
      <c r="G149" t="s">
        <v>1044</v>
      </c>
      <c r="H149">
        <f>_xlfn.XLOOKUP(D149, productos!$A$2:$A$150, productos!$D$2:$D$150, "No Encontrado", 0)</f>
        <v>6.21</v>
      </c>
      <c r="I149">
        <f t="shared" si="2"/>
        <v>12.42</v>
      </c>
    </row>
    <row r="150" spans="1:9" x14ac:dyDescent="0.25">
      <c r="A150">
        <v>24</v>
      </c>
      <c r="B150" s="1">
        <v>45477</v>
      </c>
      <c r="C150">
        <v>184</v>
      </c>
      <c r="D150">
        <v>37</v>
      </c>
      <c r="E150">
        <v>4</v>
      </c>
      <c r="F150">
        <v>3</v>
      </c>
      <c r="G150" t="s">
        <v>1044</v>
      </c>
      <c r="H150">
        <f>_xlfn.XLOOKUP(D150, productos!$A$2:$A$150, productos!$D$2:$D$150, "No Encontrado", 0)</f>
        <v>3.65</v>
      </c>
      <c r="I150">
        <f t="shared" si="2"/>
        <v>14.6</v>
      </c>
    </row>
    <row r="151" spans="1:9" x14ac:dyDescent="0.25">
      <c r="A151">
        <v>288</v>
      </c>
      <c r="B151" s="1">
        <v>45477</v>
      </c>
      <c r="C151">
        <v>88</v>
      </c>
      <c r="D151">
        <v>32</v>
      </c>
      <c r="E151">
        <v>3</v>
      </c>
      <c r="F151">
        <v>4</v>
      </c>
      <c r="G151" t="s">
        <v>1044</v>
      </c>
      <c r="H151">
        <f>_xlfn.XLOOKUP(D151, productos!$A$2:$A$150, productos!$D$2:$D$150, "No Encontrado", 0)</f>
        <v>6.25</v>
      </c>
      <c r="I151">
        <f t="shared" si="2"/>
        <v>18.75</v>
      </c>
    </row>
    <row r="152" spans="1:9" x14ac:dyDescent="0.25">
      <c r="A152">
        <v>184</v>
      </c>
      <c r="B152" s="1">
        <v>45478</v>
      </c>
      <c r="C152">
        <v>150</v>
      </c>
      <c r="D152">
        <v>34</v>
      </c>
      <c r="E152">
        <v>6</v>
      </c>
      <c r="F152">
        <v>1</v>
      </c>
      <c r="G152" t="s">
        <v>1044</v>
      </c>
      <c r="H152">
        <f>_xlfn.XLOOKUP(D152, productos!$A$2:$A$150, productos!$D$2:$D$150, "No Encontrado", 0)</f>
        <v>5.45</v>
      </c>
      <c r="I152">
        <f t="shared" si="2"/>
        <v>32.700000000000003</v>
      </c>
    </row>
    <row r="153" spans="1:9" x14ac:dyDescent="0.25">
      <c r="A153">
        <v>67</v>
      </c>
      <c r="B153" s="1">
        <v>45479</v>
      </c>
      <c r="C153">
        <v>120</v>
      </c>
      <c r="D153">
        <v>18</v>
      </c>
      <c r="E153">
        <v>2</v>
      </c>
      <c r="F153">
        <v>5</v>
      </c>
      <c r="G153" t="s">
        <v>1044</v>
      </c>
      <c r="H153">
        <f>_xlfn.XLOOKUP(D153, productos!$A$2:$A$150, productos!$D$2:$D$150, "No Encontrado", 0)</f>
        <v>7.25</v>
      </c>
      <c r="I153">
        <f t="shared" si="2"/>
        <v>14.5</v>
      </c>
    </row>
    <row r="154" spans="1:9" x14ac:dyDescent="0.25">
      <c r="A154">
        <v>130</v>
      </c>
      <c r="B154" s="1">
        <v>45479</v>
      </c>
      <c r="C154">
        <v>273</v>
      </c>
      <c r="D154">
        <v>29</v>
      </c>
      <c r="E154">
        <v>4</v>
      </c>
      <c r="F154">
        <v>1</v>
      </c>
      <c r="G154" t="s">
        <v>1044</v>
      </c>
      <c r="H154">
        <f>_xlfn.XLOOKUP(D154, productos!$A$2:$A$150, productos!$D$2:$D$150, "No Encontrado", 0)</f>
        <v>11.54</v>
      </c>
      <c r="I154">
        <f t="shared" si="2"/>
        <v>46.16</v>
      </c>
    </row>
    <row r="155" spans="1:9" x14ac:dyDescent="0.25">
      <c r="A155">
        <v>181</v>
      </c>
      <c r="B155" s="1">
        <v>45479</v>
      </c>
      <c r="C155">
        <v>143</v>
      </c>
      <c r="D155">
        <v>34</v>
      </c>
      <c r="E155">
        <v>6</v>
      </c>
      <c r="F155">
        <v>1</v>
      </c>
      <c r="G155" t="s">
        <v>1044</v>
      </c>
      <c r="H155">
        <f>_xlfn.XLOOKUP(D155, productos!$A$2:$A$150, productos!$D$2:$D$150, "No Encontrado", 0)</f>
        <v>5.45</v>
      </c>
      <c r="I155">
        <f t="shared" si="2"/>
        <v>32.700000000000003</v>
      </c>
    </row>
    <row r="156" spans="1:9" x14ac:dyDescent="0.25">
      <c r="A156">
        <v>13</v>
      </c>
      <c r="B156" s="1">
        <v>45480</v>
      </c>
      <c r="C156">
        <v>75</v>
      </c>
      <c r="D156">
        <v>32</v>
      </c>
      <c r="E156">
        <v>4</v>
      </c>
      <c r="F156">
        <v>4</v>
      </c>
      <c r="G156" t="s">
        <v>1044</v>
      </c>
      <c r="H156">
        <f>_xlfn.XLOOKUP(D156, productos!$A$2:$A$150, productos!$D$2:$D$150, "No Encontrado", 0)</f>
        <v>6.25</v>
      </c>
      <c r="I156">
        <f t="shared" si="2"/>
        <v>25</v>
      </c>
    </row>
    <row r="157" spans="1:9" x14ac:dyDescent="0.25">
      <c r="A157">
        <v>97</v>
      </c>
      <c r="B157" s="1">
        <v>45482</v>
      </c>
      <c r="C157">
        <v>103</v>
      </c>
      <c r="D157">
        <v>19</v>
      </c>
      <c r="E157">
        <v>1</v>
      </c>
      <c r="F157">
        <v>4</v>
      </c>
      <c r="G157" t="s">
        <v>1045</v>
      </c>
      <c r="H157">
        <f>_xlfn.XLOOKUP(D157, productos!$A$2:$A$150, productos!$D$2:$D$150, "No Encontrado", 0)</f>
        <v>6.54</v>
      </c>
      <c r="I157">
        <f t="shared" si="2"/>
        <v>6.54</v>
      </c>
    </row>
    <row r="158" spans="1:9" x14ac:dyDescent="0.25">
      <c r="A158">
        <v>212</v>
      </c>
      <c r="B158" s="1">
        <v>45482</v>
      </c>
      <c r="C158">
        <v>75</v>
      </c>
      <c r="D158">
        <v>9</v>
      </c>
      <c r="E158">
        <v>2</v>
      </c>
      <c r="F158">
        <v>4</v>
      </c>
      <c r="G158" t="s">
        <v>1045</v>
      </c>
      <c r="H158">
        <f>_xlfn.XLOOKUP(D158, productos!$A$2:$A$150, productos!$D$2:$D$150, "No Encontrado", 0)</f>
        <v>18.559999999999999</v>
      </c>
      <c r="I158">
        <f t="shared" si="2"/>
        <v>37.119999999999997</v>
      </c>
    </row>
    <row r="159" spans="1:9" x14ac:dyDescent="0.25">
      <c r="A159">
        <v>143</v>
      </c>
      <c r="B159" s="1">
        <v>45486</v>
      </c>
      <c r="C159">
        <v>184</v>
      </c>
      <c r="D159">
        <v>31</v>
      </c>
      <c r="E159">
        <v>6</v>
      </c>
      <c r="F159">
        <v>2</v>
      </c>
      <c r="G159" t="s">
        <v>1044</v>
      </c>
      <c r="H159">
        <f>_xlfn.XLOOKUP(D159, productos!$A$2:$A$150, productos!$D$2:$D$150, "No Encontrado", 0)</f>
        <v>5.24</v>
      </c>
      <c r="I159">
        <f t="shared" si="2"/>
        <v>31.44</v>
      </c>
    </row>
    <row r="160" spans="1:9" x14ac:dyDescent="0.25">
      <c r="A160">
        <v>246</v>
      </c>
      <c r="B160" s="1">
        <v>45487</v>
      </c>
      <c r="C160">
        <v>171</v>
      </c>
      <c r="D160">
        <v>26</v>
      </c>
      <c r="E160">
        <v>3</v>
      </c>
      <c r="F160">
        <v>2</v>
      </c>
      <c r="G160" t="s">
        <v>1044</v>
      </c>
      <c r="H160">
        <f>_xlfn.XLOOKUP(D160, productos!$A$2:$A$150, productos!$D$2:$D$150, "No Encontrado", 0)</f>
        <v>9.5399999999999991</v>
      </c>
      <c r="I160">
        <f t="shared" si="2"/>
        <v>28.619999999999997</v>
      </c>
    </row>
    <row r="161" spans="1:9" x14ac:dyDescent="0.25">
      <c r="A161">
        <v>48</v>
      </c>
      <c r="B161" s="1">
        <v>45489</v>
      </c>
      <c r="C161">
        <v>13</v>
      </c>
      <c r="D161">
        <v>4</v>
      </c>
      <c r="E161">
        <v>2</v>
      </c>
      <c r="F161">
        <v>3</v>
      </c>
      <c r="G161" t="s">
        <v>1045</v>
      </c>
      <c r="H161">
        <f>_xlfn.XLOOKUP(D161, productos!$A$2:$A$150, productos!$D$2:$D$150, "No Encontrado", 0)</f>
        <v>19.23</v>
      </c>
      <c r="I161">
        <f t="shared" si="2"/>
        <v>38.46</v>
      </c>
    </row>
    <row r="162" spans="1:9" x14ac:dyDescent="0.25">
      <c r="A162">
        <v>74</v>
      </c>
      <c r="B162" s="1">
        <v>45489</v>
      </c>
      <c r="C162">
        <v>125</v>
      </c>
      <c r="D162">
        <v>19</v>
      </c>
      <c r="E162">
        <v>4</v>
      </c>
      <c r="F162">
        <v>5</v>
      </c>
      <c r="G162" t="s">
        <v>1045</v>
      </c>
      <c r="H162">
        <f>_xlfn.XLOOKUP(D162, productos!$A$2:$A$150, productos!$D$2:$D$150, "No Encontrado", 0)</f>
        <v>6.54</v>
      </c>
      <c r="I162">
        <f t="shared" si="2"/>
        <v>26.16</v>
      </c>
    </row>
    <row r="163" spans="1:9" x14ac:dyDescent="0.25">
      <c r="A163">
        <v>148</v>
      </c>
      <c r="B163" s="1">
        <v>45492</v>
      </c>
      <c r="C163">
        <v>50</v>
      </c>
      <c r="D163">
        <v>9</v>
      </c>
      <c r="E163">
        <v>6</v>
      </c>
      <c r="F163">
        <v>2</v>
      </c>
      <c r="G163" t="s">
        <v>1044</v>
      </c>
      <c r="H163">
        <f>_xlfn.XLOOKUP(D163, productos!$A$2:$A$150, productos!$D$2:$D$150, "No Encontrado", 0)</f>
        <v>18.559999999999999</v>
      </c>
      <c r="I163">
        <f t="shared" si="2"/>
        <v>111.35999999999999</v>
      </c>
    </row>
    <row r="164" spans="1:9" x14ac:dyDescent="0.25">
      <c r="A164">
        <v>241</v>
      </c>
      <c r="B164" s="1">
        <v>45492</v>
      </c>
      <c r="C164">
        <v>158</v>
      </c>
      <c r="D164">
        <v>7</v>
      </c>
      <c r="E164">
        <v>5</v>
      </c>
      <c r="F164">
        <v>3</v>
      </c>
      <c r="G164" t="s">
        <v>1045</v>
      </c>
      <c r="H164">
        <f>_xlfn.XLOOKUP(D164, productos!$A$2:$A$150, productos!$D$2:$D$150, "No Encontrado", 0)</f>
        <v>11.25</v>
      </c>
      <c r="I164">
        <f t="shared" si="2"/>
        <v>56.25</v>
      </c>
    </row>
    <row r="165" spans="1:9" x14ac:dyDescent="0.25">
      <c r="A165">
        <v>81</v>
      </c>
      <c r="B165" s="1">
        <v>45495</v>
      </c>
      <c r="C165">
        <v>160</v>
      </c>
      <c r="D165">
        <v>10</v>
      </c>
      <c r="E165">
        <v>2</v>
      </c>
      <c r="F165">
        <v>3</v>
      </c>
      <c r="G165" t="s">
        <v>1044</v>
      </c>
      <c r="H165">
        <f>_xlfn.XLOOKUP(D165, productos!$A$2:$A$150, productos!$D$2:$D$150, "No Encontrado", 0)</f>
        <v>14.25</v>
      </c>
      <c r="I165">
        <f t="shared" si="2"/>
        <v>28.5</v>
      </c>
    </row>
    <row r="166" spans="1:9" x14ac:dyDescent="0.25">
      <c r="A166">
        <v>291</v>
      </c>
      <c r="B166" s="1">
        <v>45495</v>
      </c>
      <c r="C166">
        <v>79</v>
      </c>
      <c r="D166">
        <v>37</v>
      </c>
      <c r="E166">
        <v>6</v>
      </c>
      <c r="F166">
        <v>3</v>
      </c>
      <c r="G166" t="s">
        <v>1044</v>
      </c>
      <c r="H166">
        <f>_xlfn.XLOOKUP(D166, productos!$A$2:$A$150, productos!$D$2:$D$150, "No Encontrado", 0)</f>
        <v>3.65</v>
      </c>
      <c r="I166">
        <f t="shared" si="2"/>
        <v>21.9</v>
      </c>
    </row>
    <row r="167" spans="1:9" x14ac:dyDescent="0.25">
      <c r="A167">
        <v>280</v>
      </c>
      <c r="B167" s="1">
        <v>45496</v>
      </c>
      <c r="C167">
        <v>279</v>
      </c>
      <c r="D167">
        <v>2</v>
      </c>
      <c r="E167">
        <v>1</v>
      </c>
      <c r="F167">
        <v>3</v>
      </c>
      <c r="G167" t="s">
        <v>1044</v>
      </c>
      <c r="H167">
        <f>_xlfn.XLOOKUP(D167, productos!$A$2:$A$150, productos!$D$2:$D$150, "No Encontrado", 0)</f>
        <v>5.21</v>
      </c>
      <c r="I167">
        <f t="shared" si="2"/>
        <v>5.21</v>
      </c>
    </row>
    <row r="168" spans="1:9" x14ac:dyDescent="0.25">
      <c r="A168">
        <v>92</v>
      </c>
      <c r="B168" s="1">
        <v>45497</v>
      </c>
      <c r="C168">
        <v>190</v>
      </c>
      <c r="D168">
        <v>22</v>
      </c>
      <c r="E168">
        <v>2</v>
      </c>
      <c r="F168">
        <v>5</v>
      </c>
      <c r="G168" t="s">
        <v>1044</v>
      </c>
      <c r="H168">
        <f>_xlfn.XLOOKUP(D168, productos!$A$2:$A$150, productos!$D$2:$D$150, "No Encontrado", 0)</f>
        <v>4.21</v>
      </c>
      <c r="I168">
        <f t="shared" si="2"/>
        <v>8.42</v>
      </c>
    </row>
    <row r="169" spans="1:9" x14ac:dyDescent="0.25">
      <c r="A169">
        <v>104</v>
      </c>
      <c r="B169" s="1">
        <v>45498</v>
      </c>
      <c r="C169">
        <v>171</v>
      </c>
      <c r="D169">
        <v>21</v>
      </c>
      <c r="E169">
        <v>2</v>
      </c>
      <c r="F169">
        <v>5</v>
      </c>
      <c r="G169" t="s">
        <v>1044</v>
      </c>
      <c r="H169">
        <f>_xlfn.XLOOKUP(D169, productos!$A$2:$A$150, productos!$D$2:$D$150, "No Encontrado", 0)</f>
        <v>3.25</v>
      </c>
      <c r="I169">
        <f t="shared" si="2"/>
        <v>6.5</v>
      </c>
    </row>
    <row r="170" spans="1:9" x14ac:dyDescent="0.25">
      <c r="A170">
        <v>19</v>
      </c>
      <c r="B170" s="1">
        <v>45499</v>
      </c>
      <c r="C170">
        <v>47</v>
      </c>
      <c r="D170">
        <v>31</v>
      </c>
      <c r="E170">
        <v>6</v>
      </c>
      <c r="F170">
        <v>1</v>
      </c>
      <c r="G170" t="s">
        <v>1045</v>
      </c>
      <c r="H170">
        <f>_xlfn.XLOOKUP(D170, productos!$A$2:$A$150, productos!$D$2:$D$150, "No Encontrado", 0)</f>
        <v>5.24</v>
      </c>
      <c r="I170">
        <f t="shared" si="2"/>
        <v>31.44</v>
      </c>
    </row>
    <row r="171" spans="1:9" x14ac:dyDescent="0.25">
      <c r="A171">
        <v>323</v>
      </c>
      <c r="B171" s="1">
        <v>45499</v>
      </c>
      <c r="C171">
        <v>295</v>
      </c>
      <c r="D171">
        <v>22</v>
      </c>
      <c r="E171">
        <v>3</v>
      </c>
      <c r="F171">
        <v>2</v>
      </c>
      <c r="G171" t="s">
        <v>1044</v>
      </c>
      <c r="H171">
        <f>_xlfn.XLOOKUP(D171, productos!$A$2:$A$150, productos!$D$2:$D$150, "No Encontrado", 0)</f>
        <v>4.21</v>
      </c>
      <c r="I171">
        <f t="shared" si="2"/>
        <v>12.629999999999999</v>
      </c>
    </row>
    <row r="172" spans="1:9" x14ac:dyDescent="0.25">
      <c r="A172">
        <v>178</v>
      </c>
      <c r="B172" s="1">
        <v>45502</v>
      </c>
      <c r="C172">
        <v>159</v>
      </c>
      <c r="D172">
        <v>21</v>
      </c>
      <c r="E172">
        <v>1</v>
      </c>
      <c r="F172">
        <v>3</v>
      </c>
      <c r="G172" t="s">
        <v>1045</v>
      </c>
      <c r="H172">
        <f>_xlfn.XLOOKUP(D172, productos!$A$2:$A$150, productos!$D$2:$D$150, "No Encontrado", 0)</f>
        <v>3.25</v>
      </c>
      <c r="I172">
        <f t="shared" si="2"/>
        <v>3.25</v>
      </c>
    </row>
    <row r="173" spans="1:9" x14ac:dyDescent="0.25">
      <c r="A173">
        <v>257</v>
      </c>
      <c r="B173" s="1">
        <v>45502</v>
      </c>
      <c r="C173">
        <v>249</v>
      </c>
      <c r="D173">
        <v>28</v>
      </c>
      <c r="E173">
        <v>5</v>
      </c>
      <c r="F173">
        <v>4</v>
      </c>
      <c r="G173" t="s">
        <v>1045</v>
      </c>
      <c r="H173">
        <f>_xlfn.XLOOKUP(D173, productos!$A$2:$A$150, productos!$D$2:$D$150, "No Encontrado", 0)</f>
        <v>9.4499999999999993</v>
      </c>
      <c r="I173">
        <f t="shared" si="2"/>
        <v>47.25</v>
      </c>
    </row>
    <row r="174" spans="1:9" x14ac:dyDescent="0.25">
      <c r="A174">
        <v>121</v>
      </c>
      <c r="B174" s="1">
        <v>45503</v>
      </c>
      <c r="C174">
        <v>114</v>
      </c>
      <c r="D174">
        <v>38</v>
      </c>
      <c r="E174">
        <v>4</v>
      </c>
      <c r="F174">
        <v>5</v>
      </c>
      <c r="G174" t="s">
        <v>1044</v>
      </c>
      <c r="H174">
        <f>_xlfn.XLOOKUP(D174, productos!$A$2:$A$150, productos!$D$2:$D$150, "No Encontrado", 0)</f>
        <v>6.21</v>
      </c>
      <c r="I174">
        <f t="shared" si="2"/>
        <v>24.84</v>
      </c>
    </row>
    <row r="175" spans="1:9" x14ac:dyDescent="0.25">
      <c r="A175">
        <v>202</v>
      </c>
      <c r="B175" s="1">
        <v>45503</v>
      </c>
      <c r="C175">
        <v>170</v>
      </c>
      <c r="D175">
        <v>6</v>
      </c>
      <c r="E175">
        <v>5</v>
      </c>
      <c r="F175">
        <v>4</v>
      </c>
      <c r="G175" t="s">
        <v>1044</v>
      </c>
      <c r="H175">
        <f>_xlfn.XLOOKUP(D175, productos!$A$2:$A$150, productos!$D$2:$D$150, "No Encontrado", 0)</f>
        <v>28.56</v>
      </c>
      <c r="I175">
        <f t="shared" si="2"/>
        <v>142.79999999999998</v>
      </c>
    </row>
    <row r="176" spans="1:9" x14ac:dyDescent="0.25">
      <c r="A176">
        <v>308</v>
      </c>
      <c r="B176" s="1">
        <v>45503</v>
      </c>
      <c r="C176">
        <v>153</v>
      </c>
      <c r="D176">
        <v>29</v>
      </c>
      <c r="E176">
        <v>2</v>
      </c>
      <c r="F176">
        <v>4</v>
      </c>
      <c r="G176" t="s">
        <v>1044</v>
      </c>
      <c r="H176">
        <f>_xlfn.XLOOKUP(D176, productos!$A$2:$A$150, productos!$D$2:$D$150, "No Encontrado", 0)</f>
        <v>11.54</v>
      </c>
      <c r="I176">
        <f t="shared" si="2"/>
        <v>23.08</v>
      </c>
    </row>
    <row r="177" spans="1:9" x14ac:dyDescent="0.25">
      <c r="A177">
        <v>146</v>
      </c>
      <c r="B177" s="1">
        <v>45504</v>
      </c>
      <c r="C177">
        <v>148</v>
      </c>
      <c r="D177">
        <v>8</v>
      </c>
      <c r="E177">
        <v>2</v>
      </c>
      <c r="F177">
        <v>4</v>
      </c>
      <c r="G177" t="s">
        <v>1044</v>
      </c>
      <c r="H177">
        <f>_xlfn.XLOOKUP(D177, productos!$A$2:$A$150, productos!$D$2:$D$150, "No Encontrado", 0)</f>
        <v>16.21</v>
      </c>
      <c r="I177">
        <f t="shared" si="2"/>
        <v>32.42</v>
      </c>
    </row>
    <row r="178" spans="1:9" x14ac:dyDescent="0.25">
      <c r="A178">
        <v>220</v>
      </c>
      <c r="B178" s="1">
        <v>45504</v>
      </c>
      <c r="C178">
        <v>156</v>
      </c>
      <c r="D178">
        <v>5</v>
      </c>
      <c r="E178">
        <v>6</v>
      </c>
      <c r="F178">
        <v>5</v>
      </c>
      <c r="G178" t="s">
        <v>1045</v>
      </c>
      <c r="H178">
        <f>_xlfn.XLOOKUP(D178, productos!$A$2:$A$150, productos!$D$2:$D$150, "No Encontrado", 0)</f>
        <v>5.65</v>
      </c>
      <c r="I178">
        <f t="shared" si="2"/>
        <v>33.900000000000006</v>
      </c>
    </row>
    <row r="179" spans="1:9" x14ac:dyDescent="0.25">
      <c r="A179">
        <v>47</v>
      </c>
      <c r="B179" s="1">
        <v>45505</v>
      </c>
      <c r="C179">
        <v>86</v>
      </c>
      <c r="D179">
        <v>31</v>
      </c>
      <c r="E179">
        <v>4</v>
      </c>
      <c r="F179">
        <v>2</v>
      </c>
      <c r="G179" t="s">
        <v>1044</v>
      </c>
      <c r="H179">
        <f>_xlfn.XLOOKUP(D179, productos!$A$2:$A$150, productos!$D$2:$D$150, "No Encontrado", 0)</f>
        <v>5.24</v>
      </c>
      <c r="I179">
        <f t="shared" si="2"/>
        <v>20.96</v>
      </c>
    </row>
    <row r="180" spans="1:9" x14ac:dyDescent="0.25">
      <c r="A180">
        <v>57</v>
      </c>
      <c r="B180" s="1">
        <v>45506</v>
      </c>
      <c r="C180">
        <v>305</v>
      </c>
      <c r="D180">
        <v>13</v>
      </c>
      <c r="E180">
        <v>1</v>
      </c>
      <c r="F180">
        <v>5</v>
      </c>
      <c r="G180" t="s">
        <v>1044</v>
      </c>
      <c r="H180">
        <f>_xlfn.XLOOKUP(D180, productos!$A$2:$A$150, productos!$D$2:$D$150, "No Encontrado", 0)</f>
        <v>12.56</v>
      </c>
      <c r="I180">
        <f t="shared" si="2"/>
        <v>12.56</v>
      </c>
    </row>
    <row r="181" spans="1:9" x14ac:dyDescent="0.25">
      <c r="A181">
        <v>313</v>
      </c>
      <c r="B181" s="1">
        <v>45506</v>
      </c>
      <c r="C181">
        <v>250</v>
      </c>
      <c r="D181">
        <v>30</v>
      </c>
      <c r="E181">
        <v>1</v>
      </c>
      <c r="F181">
        <v>5</v>
      </c>
      <c r="G181" t="s">
        <v>1044</v>
      </c>
      <c r="H181">
        <f>_xlfn.XLOOKUP(D181, productos!$A$2:$A$150, productos!$D$2:$D$150, "No Encontrado", 0)</f>
        <v>13.54</v>
      </c>
      <c r="I181">
        <f t="shared" si="2"/>
        <v>13.54</v>
      </c>
    </row>
    <row r="182" spans="1:9" x14ac:dyDescent="0.25">
      <c r="A182">
        <v>305</v>
      </c>
      <c r="B182" s="1">
        <v>45507</v>
      </c>
      <c r="C182">
        <v>78</v>
      </c>
      <c r="D182">
        <v>11</v>
      </c>
      <c r="E182">
        <v>6</v>
      </c>
      <c r="F182">
        <v>4</v>
      </c>
      <c r="G182" t="s">
        <v>1044</v>
      </c>
      <c r="H182">
        <f>_xlfn.XLOOKUP(D182, productos!$A$2:$A$150, productos!$D$2:$D$150, "No Encontrado", 0)</f>
        <v>11.23</v>
      </c>
      <c r="I182">
        <f t="shared" si="2"/>
        <v>67.38</v>
      </c>
    </row>
    <row r="183" spans="1:9" x14ac:dyDescent="0.25">
      <c r="A183">
        <v>211</v>
      </c>
      <c r="B183" s="1">
        <v>45508</v>
      </c>
      <c r="C183">
        <v>264</v>
      </c>
      <c r="D183">
        <v>32</v>
      </c>
      <c r="E183">
        <v>2</v>
      </c>
      <c r="F183">
        <v>5</v>
      </c>
      <c r="G183" t="s">
        <v>1044</v>
      </c>
      <c r="H183">
        <f>_xlfn.XLOOKUP(D183, productos!$A$2:$A$150, productos!$D$2:$D$150, "No Encontrado", 0)</f>
        <v>6.25</v>
      </c>
      <c r="I183">
        <f t="shared" si="2"/>
        <v>12.5</v>
      </c>
    </row>
    <row r="184" spans="1:9" x14ac:dyDescent="0.25">
      <c r="A184">
        <v>282</v>
      </c>
      <c r="B184" s="1">
        <v>45508</v>
      </c>
      <c r="C184">
        <v>189</v>
      </c>
      <c r="D184">
        <v>3</v>
      </c>
      <c r="E184">
        <v>2</v>
      </c>
      <c r="F184">
        <v>5</v>
      </c>
      <c r="G184" t="s">
        <v>1044</v>
      </c>
      <c r="H184">
        <f>_xlfn.XLOOKUP(D184, productos!$A$2:$A$150, productos!$D$2:$D$150, "No Encontrado", 0)</f>
        <v>17.23</v>
      </c>
      <c r="I184">
        <f t="shared" si="2"/>
        <v>34.46</v>
      </c>
    </row>
    <row r="185" spans="1:9" x14ac:dyDescent="0.25">
      <c r="A185">
        <v>153</v>
      </c>
      <c r="B185" s="1">
        <v>45509</v>
      </c>
      <c r="C185">
        <v>268</v>
      </c>
      <c r="D185">
        <v>3</v>
      </c>
      <c r="E185">
        <v>4</v>
      </c>
      <c r="F185">
        <v>1</v>
      </c>
      <c r="G185" t="s">
        <v>1044</v>
      </c>
      <c r="H185">
        <f>_xlfn.XLOOKUP(D185, productos!$A$2:$A$150, productos!$D$2:$D$150, "No Encontrado", 0)</f>
        <v>17.23</v>
      </c>
      <c r="I185">
        <f t="shared" si="2"/>
        <v>68.92</v>
      </c>
    </row>
    <row r="186" spans="1:9" x14ac:dyDescent="0.25">
      <c r="A186">
        <v>193</v>
      </c>
      <c r="B186" s="1">
        <v>45509</v>
      </c>
      <c r="C186">
        <v>20</v>
      </c>
      <c r="D186">
        <v>1</v>
      </c>
      <c r="E186">
        <v>2</v>
      </c>
      <c r="F186">
        <v>1</v>
      </c>
      <c r="G186" t="s">
        <v>1044</v>
      </c>
      <c r="H186">
        <f>_xlfn.XLOOKUP(D186, productos!$A$2:$A$150, productos!$D$2:$D$150, "No Encontrado", 0)</f>
        <v>12.24</v>
      </c>
      <c r="I186">
        <f t="shared" si="2"/>
        <v>24.48</v>
      </c>
    </row>
    <row r="187" spans="1:9" x14ac:dyDescent="0.25">
      <c r="A187">
        <v>94</v>
      </c>
      <c r="B187" s="1">
        <v>45510</v>
      </c>
      <c r="C187">
        <v>174</v>
      </c>
      <c r="D187">
        <v>31</v>
      </c>
      <c r="E187">
        <v>1</v>
      </c>
      <c r="F187">
        <v>1</v>
      </c>
      <c r="G187" t="s">
        <v>1044</v>
      </c>
      <c r="H187">
        <f>_xlfn.XLOOKUP(D187, productos!$A$2:$A$150, productos!$D$2:$D$150, "No Encontrado", 0)</f>
        <v>5.24</v>
      </c>
      <c r="I187">
        <f t="shared" si="2"/>
        <v>5.24</v>
      </c>
    </row>
    <row r="188" spans="1:9" x14ac:dyDescent="0.25">
      <c r="A188">
        <v>175</v>
      </c>
      <c r="B188" s="1">
        <v>45510</v>
      </c>
      <c r="C188">
        <v>203</v>
      </c>
      <c r="D188">
        <v>3</v>
      </c>
      <c r="E188">
        <v>2</v>
      </c>
      <c r="F188">
        <v>5</v>
      </c>
      <c r="G188" t="s">
        <v>1045</v>
      </c>
      <c r="H188">
        <f>_xlfn.XLOOKUP(D188, productos!$A$2:$A$150, productos!$D$2:$D$150, "No Encontrado", 0)</f>
        <v>17.23</v>
      </c>
      <c r="I188">
        <f t="shared" si="2"/>
        <v>34.46</v>
      </c>
    </row>
    <row r="189" spans="1:9" x14ac:dyDescent="0.25">
      <c r="A189">
        <v>62</v>
      </c>
      <c r="B189" s="1">
        <v>45511</v>
      </c>
      <c r="C189">
        <v>205</v>
      </c>
      <c r="D189">
        <v>15</v>
      </c>
      <c r="E189">
        <v>2</v>
      </c>
      <c r="F189">
        <v>5</v>
      </c>
      <c r="G189" t="s">
        <v>1044</v>
      </c>
      <c r="H189">
        <f>_xlfn.XLOOKUP(D189, productos!$A$2:$A$150, productos!$D$2:$D$150, "No Encontrado", 0)</f>
        <v>3.51</v>
      </c>
      <c r="I189">
        <f t="shared" si="2"/>
        <v>7.02</v>
      </c>
    </row>
    <row r="190" spans="1:9" x14ac:dyDescent="0.25">
      <c r="A190">
        <v>114</v>
      </c>
      <c r="B190" s="1">
        <v>45511</v>
      </c>
      <c r="C190">
        <v>46</v>
      </c>
      <c r="D190">
        <v>23</v>
      </c>
      <c r="E190">
        <v>6</v>
      </c>
      <c r="F190">
        <v>1</v>
      </c>
      <c r="G190" t="s">
        <v>1044</v>
      </c>
      <c r="H190">
        <f>_xlfn.XLOOKUP(D190, productos!$A$2:$A$150, productos!$D$2:$D$150, "No Encontrado", 0)</f>
        <v>8.23</v>
      </c>
      <c r="I190">
        <f t="shared" si="2"/>
        <v>49.38</v>
      </c>
    </row>
    <row r="191" spans="1:9" x14ac:dyDescent="0.25">
      <c r="A191">
        <v>126</v>
      </c>
      <c r="B191" s="1">
        <v>45511</v>
      </c>
      <c r="C191">
        <v>24</v>
      </c>
      <c r="D191">
        <v>26</v>
      </c>
      <c r="E191">
        <v>5</v>
      </c>
      <c r="F191">
        <v>3</v>
      </c>
      <c r="G191" t="s">
        <v>1044</v>
      </c>
      <c r="H191">
        <f>_xlfn.XLOOKUP(D191, productos!$A$2:$A$150, productos!$D$2:$D$150, "No Encontrado", 0)</f>
        <v>9.5399999999999991</v>
      </c>
      <c r="I191">
        <f t="shared" si="2"/>
        <v>47.699999999999996</v>
      </c>
    </row>
    <row r="192" spans="1:9" x14ac:dyDescent="0.25">
      <c r="A192">
        <v>258</v>
      </c>
      <c r="B192" s="1">
        <v>45516</v>
      </c>
      <c r="C192">
        <v>42</v>
      </c>
      <c r="D192">
        <v>31</v>
      </c>
      <c r="E192">
        <v>1</v>
      </c>
      <c r="F192">
        <v>4</v>
      </c>
      <c r="G192" t="s">
        <v>1044</v>
      </c>
      <c r="H192">
        <f>_xlfn.XLOOKUP(D192, productos!$A$2:$A$150, productos!$D$2:$D$150, "No Encontrado", 0)</f>
        <v>5.24</v>
      </c>
      <c r="I192">
        <f t="shared" si="2"/>
        <v>5.24</v>
      </c>
    </row>
    <row r="193" spans="1:9" x14ac:dyDescent="0.25">
      <c r="A193">
        <v>315</v>
      </c>
      <c r="B193" s="1">
        <v>45516</v>
      </c>
      <c r="C193">
        <v>182</v>
      </c>
      <c r="D193">
        <v>14</v>
      </c>
      <c r="E193">
        <v>2</v>
      </c>
      <c r="F193">
        <v>5</v>
      </c>
      <c r="G193" t="s">
        <v>1045</v>
      </c>
      <c r="H193">
        <f>_xlfn.XLOOKUP(D193, productos!$A$2:$A$150, productos!$D$2:$D$150, "No Encontrado", 0)</f>
        <v>12.36</v>
      </c>
      <c r="I193">
        <f t="shared" si="2"/>
        <v>24.72</v>
      </c>
    </row>
    <row r="194" spans="1:9" x14ac:dyDescent="0.25">
      <c r="A194">
        <v>78</v>
      </c>
      <c r="B194" s="1">
        <v>45517</v>
      </c>
      <c r="C194">
        <v>60</v>
      </c>
      <c r="D194">
        <v>13</v>
      </c>
      <c r="E194">
        <v>6</v>
      </c>
      <c r="F194">
        <v>4</v>
      </c>
      <c r="G194" t="s">
        <v>1044</v>
      </c>
      <c r="H194">
        <f>_xlfn.XLOOKUP(D194, productos!$A$2:$A$150, productos!$D$2:$D$150, "No Encontrado", 0)</f>
        <v>12.56</v>
      </c>
      <c r="I194">
        <f t="shared" si="2"/>
        <v>75.36</v>
      </c>
    </row>
    <row r="195" spans="1:9" x14ac:dyDescent="0.25">
      <c r="A195">
        <v>149</v>
      </c>
      <c r="B195" s="1">
        <v>45517</v>
      </c>
      <c r="C195">
        <v>79</v>
      </c>
      <c r="D195">
        <v>7</v>
      </c>
      <c r="E195">
        <v>6</v>
      </c>
      <c r="F195">
        <v>5</v>
      </c>
      <c r="G195" t="s">
        <v>1045</v>
      </c>
      <c r="H195">
        <f>_xlfn.XLOOKUP(D195, productos!$A$2:$A$150, productos!$D$2:$D$150, "No Encontrado", 0)</f>
        <v>11.25</v>
      </c>
      <c r="I195">
        <f t="shared" ref="I195:I258" si="3">E195*H195</f>
        <v>67.5</v>
      </c>
    </row>
    <row r="196" spans="1:9" x14ac:dyDescent="0.25">
      <c r="A196">
        <v>17</v>
      </c>
      <c r="B196" s="1">
        <v>45518</v>
      </c>
      <c r="C196">
        <v>51</v>
      </c>
      <c r="D196">
        <v>31</v>
      </c>
      <c r="E196">
        <v>3</v>
      </c>
      <c r="F196">
        <v>2</v>
      </c>
      <c r="G196" t="s">
        <v>1044</v>
      </c>
      <c r="H196">
        <f>_xlfn.XLOOKUP(D196, productos!$A$2:$A$150, productos!$D$2:$D$150, "No Encontrado", 0)</f>
        <v>5.24</v>
      </c>
      <c r="I196">
        <f t="shared" si="3"/>
        <v>15.72</v>
      </c>
    </row>
    <row r="197" spans="1:9" x14ac:dyDescent="0.25">
      <c r="A197">
        <v>129</v>
      </c>
      <c r="B197" s="1">
        <v>45520</v>
      </c>
      <c r="C197">
        <v>25</v>
      </c>
      <c r="D197">
        <v>14</v>
      </c>
      <c r="E197">
        <v>2</v>
      </c>
      <c r="F197">
        <v>3</v>
      </c>
      <c r="G197" t="s">
        <v>1044</v>
      </c>
      <c r="H197">
        <f>_xlfn.XLOOKUP(D197, productos!$A$2:$A$150, productos!$D$2:$D$150, "No Encontrado", 0)</f>
        <v>12.36</v>
      </c>
      <c r="I197">
        <f t="shared" si="3"/>
        <v>24.72</v>
      </c>
    </row>
    <row r="198" spans="1:9" x14ac:dyDescent="0.25">
      <c r="A198">
        <v>204</v>
      </c>
      <c r="B198" s="1">
        <v>45520</v>
      </c>
      <c r="C198">
        <v>292</v>
      </c>
      <c r="D198">
        <v>6</v>
      </c>
      <c r="E198">
        <v>5</v>
      </c>
      <c r="F198">
        <v>2</v>
      </c>
      <c r="G198" t="s">
        <v>1044</v>
      </c>
      <c r="H198">
        <f>_xlfn.XLOOKUP(D198, productos!$A$2:$A$150, productos!$D$2:$D$150, "No Encontrado", 0)</f>
        <v>28.56</v>
      </c>
      <c r="I198">
        <f t="shared" si="3"/>
        <v>142.79999999999998</v>
      </c>
    </row>
    <row r="199" spans="1:9" x14ac:dyDescent="0.25">
      <c r="A199">
        <v>276</v>
      </c>
      <c r="B199" s="1">
        <v>45520</v>
      </c>
      <c r="C199">
        <v>103</v>
      </c>
      <c r="D199">
        <v>3</v>
      </c>
      <c r="E199">
        <v>1</v>
      </c>
      <c r="F199">
        <v>5</v>
      </c>
      <c r="G199" t="s">
        <v>1045</v>
      </c>
      <c r="H199">
        <f>_xlfn.XLOOKUP(D199, productos!$A$2:$A$150, productos!$D$2:$D$150, "No Encontrado", 0)</f>
        <v>17.23</v>
      </c>
      <c r="I199">
        <f t="shared" si="3"/>
        <v>17.23</v>
      </c>
    </row>
    <row r="200" spans="1:9" x14ac:dyDescent="0.25">
      <c r="A200">
        <v>139</v>
      </c>
      <c r="B200" s="1">
        <v>45521</v>
      </c>
      <c r="C200">
        <v>302</v>
      </c>
      <c r="D200">
        <v>8</v>
      </c>
      <c r="E200">
        <v>4</v>
      </c>
      <c r="F200">
        <v>4</v>
      </c>
      <c r="G200" t="s">
        <v>1045</v>
      </c>
      <c r="H200">
        <f>_xlfn.XLOOKUP(D200, productos!$A$2:$A$150, productos!$D$2:$D$150, "No Encontrado", 0)</f>
        <v>16.21</v>
      </c>
      <c r="I200">
        <f t="shared" si="3"/>
        <v>64.84</v>
      </c>
    </row>
    <row r="201" spans="1:9" x14ac:dyDescent="0.25">
      <c r="A201">
        <v>69</v>
      </c>
      <c r="B201" s="1">
        <v>45522</v>
      </c>
      <c r="C201">
        <v>4</v>
      </c>
      <c r="D201">
        <v>38</v>
      </c>
      <c r="E201">
        <v>3</v>
      </c>
      <c r="F201">
        <v>3</v>
      </c>
      <c r="G201" t="s">
        <v>1044</v>
      </c>
      <c r="H201">
        <f>_xlfn.XLOOKUP(D201, productos!$A$2:$A$150, productos!$D$2:$D$150, "No Encontrado", 0)</f>
        <v>6.21</v>
      </c>
      <c r="I201">
        <f t="shared" si="3"/>
        <v>18.63</v>
      </c>
    </row>
    <row r="202" spans="1:9" x14ac:dyDescent="0.25">
      <c r="A202">
        <v>266</v>
      </c>
      <c r="B202" s="1">
        <v>45522</v>
      </c>
      <c r="C202">
        <v>78</v>
      </c>
      <c r="D202">
        <v>2</v>
      </c>
      <c r="E202">
        <v>5</v>
      </c>
      <c r="F202">
        <v>4</v>
      </c>
      <c r="G202" t="s">
        <v>1044</v>
      </c>
      <c r="H202">
        <f>_xlfn.XLOOKUP(D202, productos!$A$2:$A$150, productos!$D$2:$D$150, "No Encontrado", 0)</f>
        <v>5.21</v>
      </c>
      <c r="I202">
        <f t="shared" si="3"/>
        <v>26.05</v>
      </c>
    </row>
    <row r="203" spans="1:9" x14ac:dyDescent="0.25">
      <c r="A203">
        <v>247</v>
      </c>
      <c r="B203" s="1">
        <v>45526</v>
      </c>
      <c r="C203">
        <v>63</v>
      </c>
      <c r="D203">
        <v>32</v>
      </c>
      <c r="E203">
        <v>6</v>
      </c>
      <c r="F203">
        <v>4</v>
      </c>
      <c r="G203" t="s">
        <v>1044</v>
      </c>
      <c r="H203">
        <f>_xlfn.XLOOKUP(D203, productos!$A$2:$A$150, productos!$D$2:$D$150, "No Encontrado", 0)</f>
        <v>6.25</v>
      </c>
      <c r="I203">
        <f t="shared" si="3"/>
        <v>37.5</v>
      </c>
    </row>
    <row r="204" spans="1:9" x14ac:dyDescent="0.25">
      <c r="A204">
        <v>136</v>
      </c>
      <c r="B204" s="1">
        <v>45527</v>
      </c>
      <c r="C204">
        <v>258</v>
      </c>
      <c r="D204">
        <v>26</v>
      </c>
      <c r="E204">
        <v>3</v>
      </c>
      <c r="F204">
        <v>4</v>
      </c>
      <c r="G204" t="s">
        <v>1044</v>
      </c>
      <c r="H204">
        <f>_xlfn.XLOOKUP(D204, productos!$A$2:$A$150, productos!$D$2:$D$150, "No Encontrado", 0)</f>
        <v>9.5399999999999991</v>
      </c>
      <c r="I204">
        <f t="shared" si="3"/>
        <v>28.619999999999997</v>
      </c>
    </row>
    <row r="205" spans="1:9" x14ac:dyDescent="0.25">
      <c r="A205">
        <v>255</v>
      </c>
      <c r="B205" s="1">
        <v>45528</v>
      </c>
      <c r="C205">
        <v>237</v>
      </c>
      <c r="D205">
        <v>22</v>
      </c>
      <c r="E205">
        <v>4</v>
      </c>
      <c r="F205">
        <v>2</v>
      </c>
      <c r="G205" t="s">
        <v>1044</v>
      </c>
      <c r="H205">
        <f>_xlfn.XLOOKUP(D205, productos!$A$2:$A$150, productos!$D$2:$D$150, "No Encontrado", 0)</f>
        <v>4.21</v>
      </c>
      <c r="I205">
        <f t="shared" si="3"/>
        <v>16.84</v>
      </c>
    </row>
    <row r="206" spans="1:9" x14ac:dyDescent="0.25">
      <c r="A206">
        <v>23</v>
      </c>
      <c r="B206" s="1">
        <v>45529</v>
      </c>
      <c r="C206">
        <v>4</v>
      </c>
      <c r="D206">
        <v>34</v>
      </c>
      <c r="E206">
        <v>6</v>
      </c>
      <c r="F206">
        <v>1</v>
      </c>
      <c r="G206" t="s">
        <v>1044</v>
      </c>
      <c r="H206">
        <f>_xlfn.XLOOKUP(D206, productos!$A$2:$A$150, productos!$D$2:$D$150, "No Encontrado", 0)</f>
        <v>5.45</v>
      </c>
      <c r="I206">
        <f t="shared" si="3"/>
        <v>32.700000000000003</v>
      </c>
    </row>
    <row r="207" spans="1:9" x14ac:dyDescent="0.25">
      <c r="A207">
        <v>142</v>
      </c>
      <c r="B207" s="1">
        <v>45529</v>
      </c>
      <c r="C207">
        <v>246</v>
      </c>
      <c r="D207">
        <v>21</v>
      </c>
      <c r="E207">
        <v>2</v>
      </c>
      <c r="F207">
        <v>2</v>
      </c>
      <c r="G207" t="s">
        <v>1044</v>
      </c>
      <c r="H207">
        <f>_xlfn.XLOOKUP(D207, productos!$A$2:$A$150, productos!$D$2:$D$150, "No Encontrado", 0)</f>
        <v>3.25</v>
      </c>
      <c r="I207">
        <f t="shared" si="3"/>
        <v>6.5</v>
      </c>
    </row>
    <row r="208" spans="1:9" x14ac:dyDescent="0.25">
      <c r="A208">
        <v>206</v>
      </c>
      <c r="B208" s="1">
        <v>45531</v>
      </c>
      <c r="C208">
        <v>96</v>
      </c>
      <c r="D208">
        <v>30</v>
      </c>
      <c r="E208">
        <v>5</v>
      </c>
      <c r="F208">
        <v>4</v>
      </c>
      <c r="G208" t="s">
        <v>1044</v>
      </c>
      <c r="H208">
        <f>_xlfn.XLOOKUP(D208, productos!$A$2:$A$150, productos!$D$2:$D$150, "No Encontrado", 0)</f>
        <v>13.54</v>
      </c>
      <c r="I208">
        <f t="shared" si="3"/>
        <v>67.699999999999989</v>
      </c>
    </row>
    <row r="209" spans="1:9" x14ac:dyDescent="0.25">
      <c r="A209">
        <v>1</v>
      </c>
      <c r="B209" s="1">
        <v>45532</v>
      </c>
      <c r="C209">
        <v>298</v>
      </c>
      <c r="D209">
        <v>17</v>
      </c>
      <c r="E209">
        <v>1</v>
      </c>
      <c r="F209">
        <v>3</v>
      </c>
      <c r="G209" t="s">
        <v>1044</v>
      </c>
      <c r="H209">
        <f>_xlfn.XLOOKUP(D209, productos!$A$2:$A$150, productos!$D$2:$D$150, "No Encontrado", 0)</f>
        <v>6.54</v>
      </c>
      <c r="I209">
        <f t="shared" si="3"/>
        <v>6.54</v>
      </c>
    </row>
    <row r="210" spans="1:9" x14ac:dyDescent="0.25">
      <c r="A210">
        <v>324</v>
      </c>
      <c r="B210" s="1">
        <v>45534</v>
      </c>
      <c r="C210">
        <v>206</v>
      </c>
      <c r="D210">
        <v>3</v>
      </c>
      <c r="E210">
        <v>3</v>
      </c>
      <c r="F210">
        <v>4</v>
      </c>
      <c r="G210" t="s">
        <v>1044</v>
      </c>
      <c r="H210">
        <f>_xlfn.XLOOKUP(D210, productos!$A$2:$A$150, productos!$D$2:$D$150, "No Encontrado", 0)</f>
        <v>17.23</v>
      </c>
      <c r="I210">
        <f t="shared" si="3"/>
        <v>51.69</v>
      </c>
    </row>
    <row r="211" spans="1:9" x14ac:dyDescent="0.25">
      <c r="A211">
        <v>46</v>
      </c>
      <c r="B211" s="1">
        <v>45536</v>
      </c>
      <c r="C211">
        <v>207</v>
      </c>
      <c r="D211">
        <v>10</v>
      </c>
      <c r="E211">
        <v>1</v>
      </c>
      <c r="F211">
        <v>4</v>
      </c>
      <c r="G211" t="s">
        <v>1044</v>
      </c>
      <c r="H211">
        <f>_xlfn.XLOOKUP(D211, productos!$A$2:$A$150, productos!$D$2:$D$150, "No Encontrado", 0)</f>
        <v>14.25</v>
      </c>
      <c r="I211">
        <f t="shared" si="3"/>
        <v>14.25</v>
      </c>
    </row>
    <row r="212" spans="1:9" x14ac:dyDescent="0.25">
      <c r="A212">
        <v>203</v>
      </c>
      <c r="B212" s="1">
        <v>45536</v>
      </c>
      <c r="C212">
        <v>322</v>
      </c>
      <c r="D212">
        <v>31</v>
      </c>
      <c r="E212">
        <v>6</v>
      </c>
      <c r="F212">
        <v>3</v>
      </c>
      <c r="G212" t="s">
        <v>1044</v>
      </c>
      <c r="H212">
        <f>_xlfn.XLOOKUP(D212, productos!$A$2:$A$150, productos!$D$2:$D$150, "No Encontrado", 0)</f>
        <v>5.24</v>
      </c>
      <c r="I212">
        <f t="shared" si="3"/>
        <v>31.44</v>
      </c>
    </row>
    <row r="213" spans="1:9" x14ac:dyDescent="0.25">
      <c r="A213">
        <v>154</v>
      </c>
      <c r="B213" s="1">
        <v>45537</v>
      </c>
      <c r="C213">
        <v>164</v>
      </c>
      <c r="D213">
        <v>16</v>
      </c>
      <c r="E213">
        <v>2</v>
      </c>
      <c r="F213">
        <v>5</v>
      </c>
      <c r="G213" t="s">
        <v>1044</v>
      </c>
      <c r="H213">
        <f>_xlfn.XLOOKUP(D213, productos!$A$2:$A$150, productos!$D$2:$D$150, "No Encontrado", 0)</f>
        <v>15.23</v>
      </c>
      <c r="I213">
        <f t="shared" si="3"/>
        <v>30.46</v>
      </c>
    </row>
    <row r="214" spans="1:9" x14ac:dyDescent="0.25">
      <c r="A214">
        <v>52</v>
      </c>
      <c r="B214" s="1">
        <v>45539</v>
      </c>
      <c r="C214">
        <v>50</v>
      </c>
      <c r="D214">
        <v>16</v>
      </c>
      <c r="E214">
        <v>6</v>
      </c>
      <c r="F214">
        <v>4</v>
      </c>
      <c r="G214" t="s">
        <v>1044</v>
      </c>
      <c r="H214">
        <f>_xlfn.XLOOKUP(D214, productos!$A$2:$A$150, productos!$D$2:$D$150, "No Encontrado", 0)</f>
        <v>15.23</v>
      </c>
      <c r="I214">
        <f t="shared" si="3"/>
        <v>91.38</v>
      </c>
    </row>
    <row r="215" spans="1:9" x14ac:dyDescent="0.25">
      <c r="A215">
        <v>205</v>
      </c>
      <c r="B215" s="1">
        <v>45539</v>
      </c>
      <c r="C215">
        <v>303</v>
      </c>
      <c r="D215">
        <v>2</v>
      </c>
      <c r="E215">
        <v>3</v>
      </c>
      <c r="F215">
        <v>5</v>
      </c>
      <c r="G215" t="s">
        <v>1044</v>
      </c>
      <c r="H215">
        <f>_xlfn.XLOOKUP(D215, productos!$A$2:$A$150, productos!$D$2:$D$150, "No Encontrado", 0)</f>
        <v>5.21</v>
      </c>
      <c r="I215">
        <f t="shared" si="3"/>
        <v>15.629999999999999</v>
      </c>
    </row>
    <row r="216" spans="1:9" x14ac:dyDescent="0.25">
      <c r="A216">
        <v>147</v>
      </c>
      <c r="B216" s="1">
        <v>45540</v>
      </c>
      <c r="C216">
        <v>213</v>
      </c>
      <c r="D216">
        <v>32</v>
      </c>
      <c r="E216">
        <v>6</v>
      </c>
      <c r="F216">
        <v>5</v>
      </c>
      <c r="G216" t="s">
        <v>1044</v>
      </c>
      <c r="H216">
        <f>_xlfn.XLOOKUP(D216, productos!$A$2:$A$150, productos!$D$2:$D$150, "No Encontrado", 0)</f>
        <v>6.25</v>
      </c>
      <c r="I216">
        <f t="shared" si="3"/>
        <v>37.5</v>
      </c>
    </row>
    <row r="217" spans="1:9" x14ac:dyDescent="0.25">
      <c r="A217">
        <v>5</v>
      </c>
      <c r="B217" s="1">
        <v>45541</v>
      </c>
      <c r="C217">
        <v>188</v>
      </c>
      <c r="D217">
        <v>4</v>
      </c>
      <c r="E217">
        <v>4</v>
      </c>
      <c r="F217">
        <v>4</v>
      </c>
      <c r="G217" t="s">
        <v>1044</v>
      </c>
      <c r="H217">
        <f>_xlfn.XLOOKUP(D217, productos!$A$2:$A$150, productos!$D$2:$D$150, "No Encontrado", 0)</f>
        <v>19.23</v>
      </c>
      <c r="I217">
        <f t="shared" si="3"/>
        <v>76.92</v>
      </c>
    </row>
    <row r="218" spans="1:9" x14ac:dyDescent="0.25">
      <c r="A218">
        <v>320</v>
      </c>
      <c r="B218" s="1">
        <v>45541</v>
      </c>
      <c r="C218">
        <v>93</v>
      </c>
      <c r="D218">
        <v>38</v>
      </c>
      <c r="E218">
        <v>3</v>
      </c>
      <c r="F218">
        <v>3</v>
      </c>
      <c r="G218" t="s">
        <v>1044</v>
      </c>
      <c r="H218">
        <f>_xlfn.XLOOKUP(D218, productos!$A$2:$A$150, productos!$D$2:$D$150, "No Encontrado", 0)</f>
        <v>6.21</v>
      </c>
      <c r="I218">
        <f t="shared" si="3"/>
        <v>18.63</v>
      </c>
    </row>
    <row r="219" spans="1:9" x14ac:dyDescent="0.25">
      <c r="A219">
        <v>252</v>
      </c>
      <c r="B219" s="1">
        <v>45542</v>
      </c>
      <c r="C219">
        <v>222</v>
      </c>
      <c r="D219">
        <v>23</v>
      </c>
      <c r="E219">
        <v>3</v>
      </c>
      <c r="F219">
        <v>3</v>
      </c>
      <c r="G219" t="s">
        <v>1044</v>
      </c>
      <c r="H219">
        <f>_xlfn.XLOOKUP(D219, productos!$A$2:$A$150, productos!$D$2:$D$150, "No Encontrado", 0)</f>
        <v>8.23</v>
      </c>
      <c r="I219">
        <f t="shared" si="3"/>
        <v>24.69</v>
      </c>
    </row>
    <row r="220" spans="1:9" x14ac:dyDescent="0.25">
      <c r="A220">
        <v>299</v>
      </c>
      <c r="B220" s="1">
        <v>45542</v>
      </c>
      <c r="C220">
        <v>60</v>
      </c>
      <c r="D220">
        <v>28</v>
      </c>
      <c r="E220">
        <v>2</v>
      </c>
      <c r="F220">
        <v>1</v>
      </c>
      <c r="G220" t="s">
        <v>1045</v>
      </c>
      <c r="H220">
        <f>_xlfn.XLOOKUP(D220, productos!$A$2:$A$150, productos!$D$2:$D$150, "No Encontrado", 0)</f>
        <v>9.4499999999999993</v>
      </c>
      <c r="I220">
        <f t="shared" si="3"/>
        <v>18.899999999999999</v>
      </c>
    </row>
    <row r="221" spans="1:9" x14ac:dyDescent="0.25">
      <c r="A221">
        <v>83</v>
      </c>
      <c r="B221" s="1">
        <v>45543</v>
      </c>
      <c r="C221">
        <v>187</v>
      </c>
      <c r="D221">
        <v>2</v>
      </c>
      <c r="E221">
        <v>6</v>
      </c>
      <c r="F221">
        <v>4</v>
      </c>
      <c r="G221" t="s">
        <v>1044</v>
      </c>
      <c r="H221">
        <f>_xlfn.XLOOKUP(D221, productos!$A$2:$A$150, productos!$D$2:$D$150, "No Encontrado", 0)</f>
        <v>5.21</v>
      </c>
      <c r="I221">
        <f t="shared" si="3"/>
        <v>31.259999999999998</v>
      </c>
    </row>
    <row r="222" spans="1:9" x14ac:dyDescent="0.25">
      <c r="A222">
        <v>322</v>
      </c>
      <c r="B222" s="1">
        <v>45544</v>
      </c>
      <c r="C222">
        <v>97</v>
      </c>
      <c r="D222">
        <v>9</v>
      </c>
      <c r="E222">
        <v>6</v>
      </c>
      <c r="F222">
        <v>5</v>
      </c>
      <c r="G222" t="s">
        <v>1044</v>
      </c>
      <c r="H222">
        <f>_xlfn.XLOOKUP(D222, productos!$A$2:$A$150, productos!$D$2:$D$150, "No Encontrado", 0)</f>
        <v>18.559999999999999</v>
      </c>
      <c r="I222">
        <f t="shared" si="3"/>
        <v>111.35999999999999</v>
      </c>
    </row>
    <row r="223" spans="1:9" x14ac:dyDescent="0.25">
      <c r="A223">
        <v>26</v>
      </c>
      <c r="B223" s="1">
        <v>45551</v>
      </c>
      <c r="C223">
        <v>286</v>
      </c>
      <c r="D223">
        <v>23</v>
      </c>
      <c r="E223">
        <v>2</v>
      </c>
      <c r="F223">
        <v>5</v>
      </c>
      <c r="G223" t="s">
        <v>1044</v>
      </c>
      <c r="H223">
        <f>_xlfn.XLOOKUP(D223, productos!$A$2:$A$150, productos!$D$2:$D$150, "No Encontrado", 0)</f>
        <v>8.23</v>
      </c>
      <c r="I223">
        <f t="shared" si="3"/>
        <v>16.46</v>
      </c>
    </row>
    <row r="224" spans="1:9" x14ac:dyDescent="0.25">
      <c r="A224">
        <v>71</v>
      </c>
      <c r="B224" s="1">
        <v>45553</v>
      </c>
      <c r="C224">
        <v>79</v>
      </c>
      <c r="D224">
        <v>3</v>
      </c>
      <c r="E224">
        <v>1</v>
      </c>
      <c r="F224">
        <v>5</v>
      </c>
      <c r="G224" t="s">
        <v>1044</v>
      </c>
      <c r="H224">
        <f>_xlfn.XLOOKUP(D224, productos!$A$2:$A$150, productos!$D$2:$D$150, "No Encontrado", 0)</f>
        <v>17.23</v>
      </c>
      <c r="I224">
        <f t="shared" si="3"/>
        <v>17.23</v>
      </c>
    </row>
    <row r="225" spans="1:9" x14ac:dyDescent="0.25">
      <c r="A225">
        <v>165</v>
      </c>
      <c r="B225" s="1">
        <v>45553</v>
      </c>
      <c r="C225">
        <v>173</v>
      </c>
      <c r="D225">
        <v>8</v>
      </c>
      <c r="E225">
        <v>3</v>
      </c>
      <c r="F225">
        <v>4</v>
      </c>
      <c r="G225" t="s">
        <v>1044</v>
      </c>
      <c r="H225">
        <f>_xlfn.XLOOKUP(D225, productos!$A$2:$A$150, productos!$D$2:$D$150, "No Encontrado", 0)</f>
        <v>16.21</v>
      </c>
      <c r="I225">
        <f t="shared" si="3"/>
        <v>48.63</v>
      </c>
    </row>
    <row r="226" spans="1:9" x14ac:dyDescent="0.25">
      <c r="A226">
        <v>304</v>
      </c>
      <c r="B226" s="1">
        <v>45553</v>
      </c>
      <c r="C226">
        <v>309</v>
      </c>
      <c r="D226">
        <v>5</v>
      </c>
      <c r="E226">
        <v>6</v>
      </c>
      <c r="F226">
        <v>5</v>
      </c>
      <c r="G226" t="s">
        <v>1044</v>
      </c>
      <c r="H226">
        <f>_xlfn.XLOOKUP(D226, productos!$A$2:$A$150, productos!$D$2:$D$150, "No Encontrado", 0)</f>
        <v>5.65</v>
      </c>
      <c r="I226">
        <f t="shared" si="3"/>
        <v>33.900000000000006</v>
      </c>
    </row>
    <row r="227" spans="1:9" x14ac:dyDescent="0.25">
      <c r="A227">
        <v>186</v>
      </c>
      <c r="B227" s="1">
        <v>45554</v>
      </c>
      <c r="C227">
        <v>204</v>
      </c>
      <c r="D227">
        <v>12</v>
      </c>
      <c r="E227">
        <v>1</v>
      </c>
      <c r="F227">
        <v>2</v>
      </c>
      <c r="G227" t="s">
        <v>1044</v>
      </c>
      <c r="H227">
        <f>_xlfn.XLOOKUP(D227, productos!$A$2:$A$150, productos!$D$2:$D$150, "No Encontrado", 0)</f>
        <v>8.1199999999999992</v>
      </c>
      <c r="I227">
        <f t="shared" si="3"/>
        <v>8.1199999999999992</v>
      </c>
    </row>
    <row r="228" spans="1:9" x14ac:dyDescent="0.25">
      <c r="A228">
        <v>292</v>
      </c>
      <c r="B228" s="1">
        <v>45557</v>
      </c>
      <c r="C228">
        <v>221</v>
      </c>
      <c r="D228">
        <v>26</v>
      </c>
      <c r="E228">
        <v>6</v>
      </c>
      <c r="F228">
        <v>4</v>
      </c>
      <c r="G228" t="s">
        <v>1044</v>
      </c>
      <c r="H228">
        <f>_xlfn.XLOOKUP(D228, productos!$A$2:$A$150, productos!$D$2:$D$150, "No Encontrado", 0)</f>
        <v>9.5399999999999991</v>
      </c>
      <c r="I228">
        <f t="shared" si="3"/>
        <v>57.239999999999995</v>
      </c>
    </row>
    <row r="229" spans="1:9" x14ac:dyDescent="0.25">
      <c r="A229">
        <v>156</v>
      </c>
      <c r="B229" s="1">
        <v>45558</v>
      </c>
      <c r="C229">
        <v>145</v>
      </c>
      <c r="D229">
        <v>4</v>
      </c>
      <c r="E229">
        <v>6</v>
      </c>
      <c r="F229">
        <v>3</v>
      </c>
      <c r="G229" t="s">
        <v>1044</v>
      </c>
      <c r="H229">
        <f>_xlfn.XLOOKUP(D229, productos!$A$2:$A$150, productos!$D$2:$D$150, "No Encontrado", 0)</f>
        <v>19.23</v>
      </c>
      <c r="I229">
        <f t="shared" si="3"/>
        <v>115.38</v>
      </c>
    </row>
    <row r="230" spans="1:9" x14ac:dyDescent="0.25">
      <c r="A230">
        <v>25</v>
      </c>
      <c r="B230" s="1">
        <v>45559</v>
      </c>
      <c r="C230">
        <v>275</v>
      </c>
      <c r="D230">
        <v>34</v>
      </c>
      <c r="E230">
        <v>3</v>
      </c>
      <c r="F230">
        <v>3</v>
      </c>
      <c r="G230" t="s">
        <v>1044</v>
      </c>
      <c r="H230">
        <f>_xlfn.XLOOKUP(D230, productos!$A$2:$A$150, productos!$D$2:$D$150, "No Encontrado", 0)</f>
        <v>5.45</v>
      </c>
      <c r="I230">
        <f t="shared" si="3"/>
        <v>16.350000000000001</v>
      </c>
    </row>
    <row r="231" spans="1:9" x14ac:dyDescent="0.25">
      <c r="A231">
        <v>273</v>
      </c>
      <c r="B231" s="1">
        <v>45560</v>
      </c>
      <c r="C231">
        <v>130</v>
      </c>
      <c r="D231">
        <v>4</v>
      </c>
      <c r="E231">
        <v>4</v>
      </c>
      <c r="F231">
        <v>5</v>
      </c>
      <c r="G231" t="s">
        <v>1044</v>
      </c>
      <c r="H231">
        <f>_xlfn.XLOOKUP(D231, productos!$A$2:$A$150, productos!$D$2:$D$150, "No Encontrado", 0)</f>
        <v>19.23</v>
      </c>
      <c r="I231">
        <f t="shared" si="3"/>
        <v>76.92</v>
      </c>
    </row>
    <row r="232" spans="1:9" x14ac:dyDescent="0.25">
      <c r="A232">
        <v>4</v>
      </c>
      <c r="B232" s="1">
        <v>45561</v>
      </c>
      <c r="C232">
        <v>111</v>
      </c>
      <c r="D232">
        <v>37</v>
      </c>
      <c r="E232">
        <v>5</v>
      </c>
      <c r="F232">
        <v>4</v>
      </c>
      <c r="G232" t="s">
        <v>1044</v>
      </c>
      <c r="H232">
        <f>_xlfn.XLOOKUP(D232, productos!$A$2:$A$150, productos!$D$2:$D$150, "No Encontrado", 0)</f>
        <v>3.65</v>
      </c>
      <c r="I232">
        <f t="shared" si="3"/>
        <v>18.25</v>
      </c>
    </row>
    <row r="233" spans="1:9" x14ac:dyDescent="0.25">
      <c r="A233">
        <v>224</v>
      </c>
      <c r="B233" s="1">
        <v>45561</v>
      </c>
      <c r="C233">
        <v>294</v>
      </c>
      <c r="D233">
        <v>10</v>
      </c>
      <c r="E233">
        <v>5</v>
      </c>
      <c r="F233">
        <v>4</v>
      </c>
      <c r="G233" t="s">
        <v>1044</v>
      </c>
      <c r="H233">
        <f>_xlfn.XLOOKUP(D233, productos!$A$2:$A$150, productos!$D$2:$D$150, "No Encontrado", 0)</f>
        <v>14.25</v>
      </c>
      <c r="I233">
        <f t="shared" si="3"/>
        <v>71.25</v>
      </c>
    </row>
    <row r="234" spans="1:9" x14ac:dyDescent="0.25">
      <c r="A234">
        <v>296</v>
      </c>
      <c r="B234" s="1">
        <v>45561</v>
      </c>
      <c r="C234">
        <v>279</v>
      </c>
      <c r="D234">
        <v>10</v>
      </c>
      <c r="E234">
        <v>6</v>
      </c>
      <c r="F234">
        <v>5</v>
      </c>
      <c r="G234" t="s">
        <v>1045</v>
      </c>
      <c r="H234">
        <f>_xlfn.XLOOKUP(D234, productos!$A$2:$A$150, productos!$D$2:$D$150, "No Encontrado", 0)</f>
        <v>14.25</v>
      </c>
      <c r="I234">
        <f t="shared" si="3"/>
        <v>85.5</v>
      </c>
    </row>
    <row r="235" spans="1:9" x14ac:dyDescent="0.25">
      <c r="A235">
        <v>56</v>
      </c>
      <c r="B235" s="1">
        <v>45562</v>
      </c>
      <c r="C235">
        <v>91</v>
      </c>
      <c r="D235">
        <v>20</v>
      </c>
      <c r="E235">
        <v>6</v>
      </c>
      <c r="F235">
        <v>3</v>
      </c>
      <c r="G235" t="s">
        <v>1044</v>
      </c>
      <c r="H235">
        <f>_xlfn.XLOOKUP(D235, productos!$A$2:$A$150, productos!$D$2:$D$150, "No Encontrado", 0)</f>
        <v>4.25</v>
      </c>
      <c r="I235">
        <f t="shared" si="3"/>
        <v>25.5</v>
      </c>
    </row>
    <row r="236" spans="1:9" x14ac:dyDescent="0.25">
      <c r="A236">
        <v>112</v>
      </c>
      <c r="B236" s="1">
        <v>45562</v>
      </c>
      <c r="C236">
        <v>3</v>
      </c>
      <c r="D236">
        <v>31</v>
      </c>
      <c r="E236">
        <v>1</v>
      </c>
      <c r="F236">
        <v>3</v>
      </c>
      <c r="G236" t="s">
        <v>1044</v>
      </c>
      <c r="H236">
        <f>_xlfn.XLOOKUP(D236, productos!$A$2:$A$150, productos!$D$2:$D$150, "No Encontrado", 0)</f>
        <v>5.24</v>
      </c>
      <c r="I236">
        <f t="shared" si="3"/>
        <v>5.24</v>
      </c>
    </row>
    <row r="237" spans="1:9" x14ac:dyDescent="0.25">
      <c r="A237">
        <v>150</v>
      </c>
      <c r="B237" s="1">
        <v>45562</v>
      </c>
      <c r="C237">
        <v>133</v>
      </c>
      <c r="D237">
        <v>6</v>
      </c>
      <c r="E237">
        <v>3</v>
      </c>
      <c r="F237">
        <v>4</v>
      </c>
      <c r="G237" t="s">
        <v>1044</v>
      </c>
      <c r="H237">
        <f>_xlfn.XLOOKUP(D237, productos!$A$2:$A$150, productos!$D$2:$D$150, "No Encontrado", 0)</f>
        <v>28.56</v>
      </c>
      <c r="I237">
        <f t="shared" si="3"/>
        <v>85.679999999999993</v>
      </c>
    </row>
    <row r="238" spans="1:9" x14ac:dyDescent="0.25">
      <c r="A238">
        <v>233</v>
      </c>
      <c r="B238" s="1">
        <v>45563</v>
      </c>
      <c r="C238">
        <v>315</v>
      </c>
      <c r="D238">
        <v>10</v>
      </c>
      <c r="E238">
        <v>5</v>
      </c>
      <c r="F238">
        <v>5</v>
      </c>
      <c r="G238" t="s">
        <v>1044</v>
      </c>
      <c r="H238">
        <f>_xlfn.XLOOKUP(D238, productos!$A$2:$A$150, productos!$D$2:$D$150, "No Encontrado", 0)</f>
        <v>14.25</v>
      </c>
      <c r="I238">
        <f t="shared" si="3"/>
        <v>71.25</v>
      </c>
    </row>
    <row r="239" spans="1:9" x14ac:dyDescent="0.25">
      <c r="A239">
        <v>254</v>
      </c>
      <c r="B239" s="1">
        <v>45563</v>
      </c>
      <c r="C239">
        <v>324</v>
      </c>
      <c r="D239">
        <v>29</v>
      </c>
      <c r="E239">
        <v>1</v>
      </c>
      <c r="F239">
        <v>2</v>
      </c>
      <c r="G239" t="s">
        <v>1044</v>
      </c>
      <c r="H239">
        <f>_xlfn.XLOOKUP(D239, productos!$A$2:$A$150, productos!$D$2:$D$150, "No Encontrado", 0)</f>
        <v>11.54</v>
      </c>
      <c r="I239">
        <f t="shared" si="3"/>
        <v>11.54</v>
      </c>
    </row>
    <row r="240" spans="1:9" x14ac:dyDescent="0.25">
      <c r="A240">
        <v>317</v>
      </c>
      <c r="B240" s="1">
        <v>45563</v>
      </c>
      <c r="C240">
        <v>258</v>
      </c>
      <c r="D240">
        <v>7</v>
      </c>
      <c r="E240">
        <v>6</v>
      </c>
      <c r="F240">
        <v>3</v>
      </c>
      <c r="G240" t="s">
        <v>1044</v>
      </c>
      <c r="H240">
        <f>_xlfn.XLOOKUP(D240, productos!$A$2:$A$150, productos!$D$2:$D$150, "No Encontrado", 0)</f>
        <v>11.25</v>
      </c>
      <c r="I240">
        <f t="shared" si="3"/>
        <v>67.5</v>
      </c>
    </row>
    <row r="241" spans="1:9" x14ac:dyDescent="0.25">
      <c r="A241">
        <v>59</v>
      </c>
      <c r="B241" s="1">
        <v>45564</v>
      </c>
      <c r="C241">
        <v>242</v>
      </c>
      <c r="D241">
        <v>16</v>
      </c>
      <c r="E241">
        <v>6</v>
      </c>
      <c r="F241">
        <v>5</v>
      </c>
      <c r="G241" t="s">
        <v>1044</v>
      </c>
      <c r="H241">
        <f>_xlfn.XLOOKUP(D241, productos!$A$2:$A$150, productos!$D$2:$D$150, "No Encontrado", 0)</f>
        <v>15.23</v>
      </c>
      <c r="I241">
        <f t="shared" si="3"/>
        <v>91.38</v>
      </c>
    </row>
    <row r="242" spans="1:9" x14ac:dyDescent="0.25">
      <c r="A242">
        <v>91</v>
      </c>
      <c r="B242" s="1">
        <v>45564</v>
      </c>
      <c r="C242">
        <v>192</v>
      </c>
      <c r="D242">
        <v>6</v>
      </c>
      <c r="E242">
        <v>6</v>
      </c>
      <c r="F242">
        <v>3</v>
      </c>
      <c r="G242" t="s">
        <v>1044</v>
      </c>
      <c r="H242">
        <f>_xlfn.XLOOKUP(D242, productos!$A$2:$A$150, productos!$D$2:$D$150, "No Encontrado", 0)</f>
        <v>28.56</v>
      </c>
      <c r="I242">
        <f t="shared" si="3"/>
        <v>171.35999999999999</v>
      </c>
    </row>
    <row r="243" spans="1:9" x14ac:dyDescent="0.25">
      <c r="A243">
        <v>100</v>
      </c>
      <c r="B243" s="1">
        <v>45564</v>
      </c>
      <c r="C243">
        <v>134</v>
      </c>
      <c r="D243">
        <v>26</v>
      </c>
      <c r="E243">
        <v>6</v>
      </c>
      <c r="F243">
        <v>1</v>
      </c>
      <c r="G243" t="s">
        <v>1044</v>
      </c>
      <c r="H243">
        <f>_xlfn.XLOOKUP(D243, productos!$A$2:$A$150, productos!$D$2:$D$150, "No Encontrado", 0)</f>
        <v>9.5399999999999991</v>
      </c>
      <c r="I243">
        <f t="shared" si="3"/>
        <v>57.239999999999995</v>
      </c>
    </row>
    <row r="244" spans="1:9" x14ac:dyDescent="0.25">
      <c r="A244">
        <v>105</v>
      </c>
      <c r="B244" s="1">
        <v>45564</v>
      </c>
      <c r="C244">
        <v>24</v>
      </c>
      <c r="D244">
        <v>24</v>
      </c>
      <c r="E244">
        <v>1</v>
      </c>
      <c r="F244">
        <v>4</v>
      </c>
      <c r="G244" t="s">
        <v>1044</v>
      </c>
      <c r="H244">
        <f>_xlfn.XLOOKUP(D244, productos!$A$2:$A$150, productos!$D$2:$D$150, "No Encontrado", 0)</f>
        <v>13.54</v>
      </c>
      <c r="I244">
        <f t="shared" si="3"/>
        <v>13.54</v>
      </c>
    </row>
    <row r="245" spans="1:9" x14ac:dyDescent="0.25">
      <c r="A245">
        <v>179</v>
      </c>
      <c r="B245" s="1">
        <v>45564</v>
      </c>
      <c r="C245">
        <v>37</v>
      </c>
      <c r="D245">
        <v>6</v>
      </c>
      <c r="E245">
        <v>4</v>
      </c>
      <c r="F245">
        <v>1</v>
      </c>
      <c r="G245" t="s">
        <v>1045</v>
      </c>
      <c r="H245">
        <f>_xlfn.XLOOKUP(D245, productos!$A$2:$A$150, productos!$D$2:$D$150, "No Encontrado", 0)</f>
        <v>28.56</v>
      </c>
      <c r="I245">
        <f t="shared" si="3"/>
        <v>114.24</v>
      </c>
    </row>
    <row r="246" spans="1:9" x14ac:dyDescent="0.25">
      <c r="A246">
        <v>171</v>
      </c>
      <c r="B246" s="1">
        <v>45565</v>
      </c>
      <c r="C246">
        <v>50</v>
      </c>
      <c r="D246">
        <v>27</v>
      </c>
      <c r="E246">
        <v>3</v>
      </c>
      <c r="F246">
        <v>5</v>
      </c>
      <c r="G246" t="s">
        <v>1044</v>
      </c>
      <c r="H246">
        <f>_xlfn.XLOOKUP(D246, productos!$A$2:$A$150, productos!$D$2:$D$150, "No Encontrado", 0)</f>
        <v>6.21</v>
      </c>
      <c r="I246">
        <f t="shared" si="3"/>
        <v>18.63</v>
      </c>
    </row>
    <row r="247" spans="1:9" x14ac:dyDescent="0.25">
      <c r="A247">
        <v>261</v>
      </c>
      <c r="B247" s="1">
        <v>45568</v>
      </c>
      <c r="C247">
        <v>74</v>
      </c>
      <c r="D247">
        <v>6</v>
      </c>
      <c r="E247">
        <v>5</v>
      </c>
      <c r="F247">
        <v>5</v>
      </c>
      <c r="G247" t="s">
        <v>1044</v>
      </c>
      <c r="H247">
        <f>_xlfn.XLOOKUP(D247, productos!$A$2:$A$150, productos!$D$2:$D$150, "No Encontrado", 0)</f>
        <v>28.56</v>
      </c>
      <c r="I247">
        <f t="shared" si="3"/>
        <v>142.79999999999998</v>
      </c>
    </row>
    <row r="248" spans="1:9" x14ac:dyDescent="0.25">
      <c r="A248">
        <v>274</v>
      </c>
      <c r="B248" s="1">
        <v>45568</v>
      </c>
      <c r="C248">
        <v>105</v>
      </c>
      <c r="D248">
        <v>23</v>
      </c>
      <c r="E248">
        <v>5</v>
      </c>
      <c r="F248">
        <v>4</v>
      </c>
      <c r="G248" t="s">
        <v>1044</v>
      </c>
      <c r="H248">
        <f>_xlfn.XLOOKUP(D248, productos!$A$2:$A$150, productos!$D$2:$D$150, "No Encontrado", 0)</f>
        <v>8.23</v>
      </c>
      <c r="I248">
        <f t="shared" si="3"/>
        <v>41.150000000000006</v>
      </c>
    </row>
    <row r="249" spans="1:9" x14ac:dyDescent="0.25">
      <c r="A249">
        <v>289</v>
      </c>
      <c r="B249" s="1">
        <v>45568</v>
      </c>
      <c r="C249">
        <v>225</v>
      </c>
      <c r="D249">
        <v>31</v>
      </c>
      <c r="E249">
        <v>2</v>
      </c>
      <c r="F249">
        <v>5</v>
      </c>
      <c r="G249" t="s">
        <v>1044</v>
      </c>
      <c r="H249">
        <f>_xlfn.XLOOKUP(D249, productos!$A$2:$A$150, productos!$D$2:$D$150, "No Encontrado", 0)</f>
        <v>5.24</v>
      </c>
      <c r="I249">
        <f t="shared" si="3"/>
        <v>10.48</v>
      </c>
    </row>
    <row r="250" spans="1:9" x14ac:dyDescent="0.25">
      <c r="A250">
        <v>240</v>
      </c>
      <c r="B250" s="1">
        <v>45569</v>
      </c>
      <c r="C250">
        <v>312</v>
      </c>
      <c r="D250">
        <v>29</v>
      </c>
      <c r="E250">
        <v>4</v>
      </c>
      <c r="F250">
        <v>3</v>
      </c>
      <c r="G250" t="s">
        <v>1044</v>
      </c>
      <c r="H250">
        <f>_xlfn.XLOOKUP(D250, productos!$A$2:$A$150, productos!$D$2:$D$150, "No Encontrado", 0)</f>
        <v>11.54</v>
      </c>
      <c r="I250">
        <f t="shared" si="3"/>
        <v>46.16</v>
      </c>
    </row>
    <row r="251" spans="1:9" x14ac:dyDescent="0.25">
      <c r="A251">
        <v>159</v>
      </c>
      <c r="B251" s="1">
        <v>45570</v>
      </c>
      <c r="C251">
        <v>217</v>
      </c>
      <c r="D251">
        <v>26</v>
      </c>
      <c r="E251">
        <v>2</v>
      </c>
      <c r="F251">
        <v>1</v>
      </c>
      <c r="G251" t="s">
        <v>1044</v>
      </c>
      <c r="H251">
        <f>_xlfn.XLOOKUP(D251, productos!$A$2:$A$150, productos!$D$2:$D$150, "No Encontrado", 0)</f>
        <v>9.5399999999999991</v>
      </c>
      <c r="I251">
        <f t="shared" si="3"/>
        <v>19.079999999999998</v>
      </c>
    </row>
    <row r="252" spans="1:9" x14ac:dyDescent="0.25">
      <c r="A252">
        <v>68</v>
      </c>
      <c r="B252" s="1">
        <v>45571</v>
      </c>
      <c r="C252">
        <v>127</v>
      </c>
      <c r="D252">
        <v>20</v>
      </c>
      <c r="E252">
        <v>2</v>
      </c>
      <c r="F252">
        <v>5</v>
      </c>
      <c r="G252" t="s">
        <v>1044</v>
      </c>
      <c r="H252">
        <f>_xlfn.XLOOKUP(D252, productos!$A$2:$A$150, productos!$D$2:$D$150, "No Encontrado", 0)</f>
        <v>4.25</v>
      </c>
      <c r="I252">
        <f t="shared" si="3"/>
        <v>8.5</v>
      </c>
    </row>
    <row r="253" spans="1:9" x14ac:dyDescent="0.25">
      <c r="A253">
        <v>164</v>
      </c>
      <c r="B253" s="1">
        <v>45571</v>
      </c>
      <c r="C253">
        <v>233</v>
      </c>
      <c r="D253">
        <v>18</v>
      </c>
      <c r="E253">
        <v>2</v>
      </c>
      <c r="F253">
        <v>4</v>
      </c>
      <c r="G253" t="s">
        <v>1044</v>
      </c>
      <c r="H253">
        <f>_xlfn.XLOOKUP(D253, productos!$A$2:$A$150, productos!$D$2:$D$150, "No Encontrado", 0)</f>
        <v>7.25</v>
      </c>
      <c r="I253">
        <f t="shared" si="3"/>
        <v>14.5</v>
      </c>
    </row>
    <row r="254" spans="1:9" x14ac:dyDescent="0.25">
      <c r="A254">
        <v>137</v>
      </c>
      <c r="B254" s="1">
        <v>45572</v>
      </c>
      <c r="C254">
        <v>264</v>
      </c>
      <c r="D254">
        <v>15</v>
      </c>
      <c r="E254">
        <v>1</v>
      </c>
      <c r="F254">
        <v>5</v>
      </c>
      <c r="G254" t="s">
        <v>1045</v>
      </c>
      <c r="H254">
        <f>_xlfn.XLOOKUP(D254, productos!$A$2:$A$150, productos!$D$2:$D$150, "No Encontrado", 0)</f>
        <v>3.51</v>
      </c>
      <c r="I254">
        <f t="shared" si="3"/>
        <v>3.51</v>
      </c>
    </row>
    <row r="255" spans="1:9" x14ac:dyDescent="0.25">
      <c r="A255">
        <v>36</v>
      </c>
      <c r="B255" s="1">
        <v>45576</v>
      </c>
      <c r="C255">
        <v>77</v>
      </c>
      <c r="D255">
        <v>27</v>
      </c>
      <c r="E255">
        <v>2</v>
      </c>
      <c r="F255">
        <v>1</v>
      </c>
      <c r="G255" t="s">
        <v>1044</v>
      </c>
      <c r="H255">
        <f>_xlfn.XLOOKUP(D255, productos!$A$2:$A$150, productos!$D$2:$D$150, "No Encontrado", 0)</f>
        <v>6.21</v>
      </c>
      <c r="I255">
        <f t="shared" si="3"/>
        <v>12.42</v>
      </c>
    </row>
    <row r="256" spans="1:9" x14ac:dyDescent="0.25">
      <c r="A256">
        <v>84</v>
      </c>
      <c r="B256" s="1">
        <v>45576</v>
      </c>
      <c r="C256">
        <v>110</v>
      </c>
      <c r="D256">
        <v>13</v>
      </c>
      <c r="E256">
        <v>1</v>
      </c>
      <c r="F256">
        <v>4</v>
      </c>
      <c r="G256" t="s">
        <v>1044</v>
      </c>
      <c r="H256">
        <f>_xlfn.XLOOKUP(D256, productos!$A$2:$A$150, productos!$D$2:$D$150, "No Encontrado", 0)</f>
        <v>12.56</v>
      </c>
      <c r="I256">
        <f t="shared" si="3"/>
        <v>12.56</v>
      </c>
    </row>
    <row r="257" spans="1:9" x14ac:dyDescent="0.25">
      <c r="A257">
        <v>285</v>
      </c>
      <c r="B257" s="1">
        <v>45576</v>
      </c>
      <c r="C257">
        <v>239</v>
      </c>
      <c r="D257">
        <v>15</v>
      </c>
      <c r="E257">
        <v>2</v>
      </c>
      <c r="F257">
        <v>1</v>
      </c>
      <c r="G257" t="s">
        <v>1044</v>
      </c>
      <c r="H257">
        <f>_xlfn.XLOOKUP(D257, productos!$A$2:$A$150, productos!$D$2:$D$150, "No Encontrado", 0)</f>
        <v>3.51</v>
      </c>
      <c r="I257">
        <f t="shared" si="3"/>
        <v>7.02</v>
      </c>
    </row>
    <row r="258" spans="1:9" x14ac:dyDescent="0.25">
      <c r="A258">
        <v>310</v>
      </c>
      <c r="B258" s="1">
        <v>45577</v>
      </c>
      <c r="C258">
        <v>152</v>
      </c>
      <c r="D258">
        <v>25</v>
      </c>
      <c r="E258">
        <v>3</v>
      </c>
      <c r="F258">
        <v>5</v>
      </c>
      <c r="G258" t="s">
        <v>1044</v>
      </c>
      <c r="H258">
        <f>_xlfn.XLOOKUP(D258, productos!$A$2:$A$150, productos!$D$2:$D$150, "No Encontrado", 0)</f>
        <v>15.45</v>
      </c>
      <c r="I258">
        <f t="shared" si="3"/>
        <v>46.349999999999994</v>
      </c>
    </row>
    <row r="259" spans="1:9" x14ac:dyDescent="0.25">
      <c r="A259">
        <v>301</v>
      </c>
      <c r="B259" s="1">
        <v>45578</v>
      </c>
      <c r="C259">
        <v>326</v>
      </c>
      <c r="D259">
        <v>21</v>
      </c>
      <c r="E259">
        <v>4</v>
      </c>
      <c r="F259">
        <v>4</v>
      </c>
      <c r="G259" t="s">
        <v>1044</v>
      </c>
      <c r="H259">
        <f>_xlfn.XLOOKUP(D259, productos!$A$2:$A$150, productos!$D$2:$D$150, "No Encontrado", 0)</f>
        <v>3.25</v>
      </c>
      <c r="I259">
        <f t="shared" ref="I259:I322" si="4">E259*H259</f>
        <v>13</v>
      </c>
    </row>
    <row r="260" spans="1:9" x14ac:dyDescent="0.25">
      <c r="A260">
        <v>307</v>
      </c>
      <c r="B260" s="1">
        <v>45581</v>
      </c>
      <c r="C260">
        <v>50</v>
      </c>
      <c r="D260">
        <v>27</v>
      </c>
      <c r="E260">
        <v>1</v>
      </c>
      <c r="F260">
        <v>2</v>
      </c>
      <c r="G260" t="s">
        <v>1044</v>
      </c>
      <c r="H260">
        <f>_xlfn.XLOOKUP(D260, productos!$A$2:$A$150, productos!$D$2:$D$150, "No Encontrado", 0)</f>
        <v>6.21</v>
      </c>
      <c r="I260">
        <f t="shared" si="4"/>
        <v>6.21</v>
      </c>
    </row>
    <row r="261" spans="1:9" x14ac:dyDescent="0.25">
      <c r="A261">
        <v>38</v>
      </c>
      <c r="B261" s="1">
        <v>45582</v>
      </c>
      <c r="C261">
        <v>271</v>
      </c>
      <c r="D261">
        <v>20</v>
      </c>
      <c r="E261">
        <v>6</v>
      </c>
      <c r="F261">
        <v>3</v>
      </c>
      <c r="G261" t="s">
        <v>1044</v>
      </c>
      <c r="H261">
        <f>_xlfn.XLOOKUP(D261, productos!$A$2:$A$150, productos!$D$2:$D$150, "No Encontrado", 0)</f>
        <v>4.25</v>
      </c>
      <c r="I261">
        <f t="shared" si="4"/>
        <v>25.5</v>
      </c>
    </row>
    <row r="262" spans="1:9" x14ac:dyDescent="0.25">
      <c r="A262">
        <v>326</v>
      </c>
      <c r="B262" s="1">
        <v>45582</v>
      </c>
      <c r="C262">
        <v>132</v>
      </c>
      <c r="D262">
        <v>32</v>
      </c>
      <c r="E262">
        <v>3</v>
      </c>
      <c r="F262">
        <v>2</v>
      </c>
      <c r="G262" t="s">
        <v>1045</v>
      </c>
      <c r="H262">
        <f>_xlfn.XLOOKUP(D262, productos!$A$2:$A$150, productos!$D$2:$D$150, "No Encontrado", 0)</f>
        <v>6.25</v>
      </c>
      <c r="I262">
        <f t="shared" si="4"/>
        <v>18.75</v>
      </c>
    </row>
    <row r="263" spans="1:9" x14ac:dyDescent="0.25">
      <c r="A263">
        <v>132</v>
      </c>
      <c r="B263" s="1">
        <v>45586</v>
      </c>
      <c r="C263">
        <v>95</v>
      </c>
      <c r="D263">
        <v>27</v>
      </c>
      <c r="E263">
        <v>1</v>
      </c>
      <c r="F263">
        <v>4</v>
      </c>
      <c r="G263" t="s">
        <v>1045</v>
      </c>
      <c r="H263">
        <f>_xlfn.XLOOKUP(D263, productos!$A$2:$A$150, productos!$D$2:$D$150, "No Encontrado", 0)</f>
        <v>6.21</v>
      </c>
      <c r="I263">
        <f t="shared" si="4"/>
        <v>6.21</v>
      </c>
    </row>
    <row r="264" spans="1:9" x14ac:dyDescent="0.25">
      <c r="A264">
        <v>173</v>
      </c>
      <c r="B264" s="1">
        <v>45588</v>
      </c>
      <c r="C264">
        <v>168</v>
      </c>
      <c r="D264">
        <v>36</v>
      </c>
      <c r="E264">
        <v>1</v>
      </c>
      <c r="F264">
        <v>5</v>
      </c>
      <c r="G264" t="s">
        <v>1044</v>
      </c>
      <c r="H264">
        <f>_xlfn.XLOOKUP(D264, productos!$A$2:$A$150, productos!$D$2:$D$150, "No Encontrado", 0)</f>
        <v>3.25</v>
      </c>
      <c r="I264">
        <f t="shared" si="4"/>
        <v>3.25</v>
      </c>
    </row>
    <row r="265" spans="1:9" x14ac:dyDescent="0.25">
      <c r="A265">
        <v>235</v>
      </c>
      <c r="B265" s="1">
        <v>45590</v>
      </c>
      <c r="C265">
        <v>177</v>
      </c>
      <c r="D265">
        <v>3</v>
      </c>
      <c r="E265">
        <v>2</v>
      </c>
      <c r="F265">
        <v>4</v>
      </c>
      <c r="G265" t="s">
        <v>1045</v>
      </c>
      <c r="H265">
        <f>_xlfn.XLOOKUP(D265, productos!$A$2:$A$150, productos!$D$2:$D$150, "No Encontrado", 0)</f>
        <v>17.23</v>
      </c>
      <c r="I265">
        <f t="shared" si="4"/>
        <v>34.46</v>
      </c>
    </row>
    <row r="266" spans="1:9" x14ac:dyDescent="0.25">
      <c r="A266">
        <v>242</v>
      </c>
      <c r="B266" s="1">
        <v>45590</v>
      </c>
      <c r="C266">
        <v>152</v>
      </c>
      <c r="D266">
        <v>1</v>
      </c>
      <c r="E266">
        <v>3</v>
      </c>
      <c r="F266">
        <v>1</v>
      </c>
      <c r="G266" t="s">
        <v>1044</v>
      </c>
      <c r="H266">
        <f>_xlfn.XLOOKUP(D266, productos!$A$2:$A$150, productos!$D$2:$D$150, "No Encontrado", 0)</f>
        <v>12.24</v>
      </c>
      <c r="I266">
        <f t="shared" si="4"/>
        <v>36.72</v>
      </c>
    </row>
    <row r="267" spans="1:9" x14ac:dyDescent="0.25">
      <c r="A267">
        <v>228</v>
      </c>
      <c r="B267" s="1">
        <v>45591</v>
      </c>
      <c r="C267">
        <v>209</v>
      </c>
      <c r="D267">
        <v>11</v>
      </c>
      <c r="E267">
        <v>4</v>
      </c>
      <c r="F267">
        <v>5</v>
      </c>
      <c r="G267" t="s">
        <v>1044</v>
      </c>
      <c r="H267">
        <f>_xlfn.XLOOKUP(D267, productos!$A$2:$A$150, productos!$D$2:$D$150, "No Encontrado", 0)</f>
        <v>11.23</v>
      </c>
      <c r="I267">
        <f t="shared" si="4"/>
        <v>44.92</v>
      </c>
    </row>
    <row r="268" spans="1:9" x14ac:dyDescent="0.25">
      <c r="A268">
        <v>33</v>
      </c>
      <c r="B268" s="1">
        <v>45592</v>
      </c>
      <c r="C268">
        <v>65</v>
      </c>
      <c r="D268">
        <v>23</v>
      </c>
      <c r="E268">
        <v>2</v>
      </c>
      <c r="F268">
        <v>5</v>
      </c>
      <c r="G268" t="s">
        <v>1044</v>
      </c>
      <c r="H268">
        <f>_xlfn.XLOOKUP(D268, productos!$A$2:$A$150, productos!$D$2:$D$150, "No Encontrado", 0)</f>
        <v>8.23</v>
      </c>
      <c r="I268">
        <f t="shared" si="4"/>
        <v>16.46</v>
      </c>
    </row>
    <row r="269" spans="1:9" x14ac:dyDescent="0.25">
      <c r="A269">
        <v>314</v>
      </c>
      <c r="B269" s="1">
        <v>45592</v>
      </c>
      <c r="C269">
        <v>122</v>
      </c>
      <c r="D269">
        <v>8</v>
      </c>
      <c r="E269">
        <v>3</v>
      </c>
      <c r="F269">
        <v>4</v>
      </c>
      <c r="G269" t="s">
        <v>1044</v>
      </c>
      <c r="H269">
        <f>_xlfn.XLOOKUP(D269, productos!$A$2:$A$150, productos!$D$2:$D$150, "No Encontrado", 0)</f>
        <v>16.21</v>
      </c>
      <c r="I269">
        <f t="shared" si="4"/>
        <v>48.63</v>
      </c>
    </row>
    <row r="270" spans="1:9" x14ac:dyDescent="0.25">
      <c r="A270">
        <v>32</v>
      </c>
      <c r="B270" s="1">
        <v>45594</v>
      </c>
      <c r="C270">
        <v>155</v>
      </c>
      <c r="D270">
        <v>37</v>
      </c>
      <c r="E270">
        <v>6</v>
      </c>
      <c r="F270">
        <v>4</v>
      </c>
      <c r="G270" t="s">
        <v>1044</v>
      </c>
      <c r="H270">
        <f>_xlfn.XLOOKUP(D270, productos!$A$2:$A$150, productos!$D$2:$D$150, "No Encontrado", 0)</f>
        <v>3.65</v>
      </c>
      <c r="I270">
        <f t="shared" si="4"/>
        <v>21.9</v>
      </c>
    </row>
    <row r="271" spans="1:9" x14ac:dyDescent="0.25">
      <c r="A271">
        <v>125</v>
      </c>
      <c r="B271" s="1">
        <v>45595</v>
      </c>
      <c r="C271">
        <v>190</v>
      </c>
      <c r="D271">
        <v>3</v>
      </c>
      <c r="E271">
        <v>6</v>
      </c>
      <c r="F271">
        <v>5</v>
      </c>
      <c r="G271" t="s">
        <v>1045</v>
      </c>
      <c r="H271">
        <f>_xlfn.XLOOKUP(D271, productos!$A$2:$A$150, productos!$D$2:$D$150, "No Encontrado", 0)</f>
        <v>17.23</v>
      </c>
      <c r="I271">
        <f t="shared" si="4"/>
        <v>103.38</v>
      </c>
    </row>
    <row r="272" spans="1:9" x14ac:dyDescent="0.25">
      <c r="A272">
        <v>109</v>
      </c>
      <c r="B272" s="1">
        <v>45596</v>
      </c>
      <c r="C272">
        <v>285</v>
      </c>
      <c r="D272">
        <v>34</v>
      </c>
      <c r="E272">
        <v>6</v>
      </c>
      <c r="F272">
        <v>2</v>
      </c>
      <c r="G272" t="s">
        <v>1044</v>
      </c>
      <c r="H272">
        <f>_xlfn.XLOOKUP(D272, productos!$A$2:$A$150, productos!$D$2:$D$150, "No Encontrado", 0)</f>
        <v>5.45</v>
      </c>
      <c r="I272">
        <f t="shared" si="4"/>
        <v>32.700000000000003</v>
      </c>
    </row>
    <row r="273" spans="1:9" x14ac:dyDescent="0.25">
      <c r="A273">
        <v>234</v>
      </c>
      <c r="B273" s="1">
        <v>45596</v>
      </c>
      <c r="C273">
        <v>255</v>
      </c>
      <c r="D273">
        <v>37</v>
      </c>
      <c r="E273">
        <v>5</v>
      </c>
      <c r="F273">
        <v>5</v>
      </c>
      <c r="G273" t="s">
        <v>1044</v>
      </c>
      <c r="H273">
        <f>_xlfn.XLOOKUP(D273, productos!$A$2:$A$150, productos!$D$2:$D$150, "No Encontrado", 0)</f>
        <v>3.65</v>
      </c>
      <c r="I273">
        <f t="shared" si="4"/>
        <v>18.25</v>
      </c>
    </row>
    <row r="274" spans="1:9" x14ac:dyDescent="0.25">
      <c r="A274">
        <v>99</v>
      </c>
      <c r="B274" s="1">
        <v>45597</v>
      </c>
      <c r="C274">
        <v>11</v>
      </c>
      <c r="D274">
        <v>17</v>
      </c>
      <c r="E274">
        <v>1</v>
      </c>
      <c r="F274">
        <v>2</v>
      </c>
      <c r="G274" t="s">
        <v>1044</v>
      </c>
      <c r="H274">
        <f>_xlfn.XLOOKUP(D274, productos!$A$2:$A$150, productos!$D$2:$D$150, "No Encontrado", 0)</f>
        <v>6.54</v>
      </c>
      <c r="I274">
        <f t="shared" si="4"/>
        <v>6.54</v>
      </c>
    </row>
    <row r="275" spans="1:9" x14ac:dyDescent="0.25">
      <c r="A275">
        <v>93</v>
      </c>
      <c r="B275" s="1">
        <v>45598</v>
      </c>
      <c r="C275">
        <v>101</v>
      </c>
      <c r="D275">
        <v>26</v>
      </c>
      <c r="E275">
        <v>4</v>
      </c>
      <c r="F275">
        <v>2</v>
      </c>
      <c r="G275" t="s">
        <v>1045</v>
      </c>
      <c r="H275">
        <f>_xlfn.XLOOKUP(D275, productos!$A$2:$A$150, productos!$D$2:$D$150, "No Encontrado", 0)</f>
        <v>9.5399999999999991</v>
      </c>
      <c r="I275">
        <f t="shared" si="4"/>
        <v>38.159999999999997</v>
      </c>
    </row>
    <row r="276" spans="1:9" x14ac:dyDescent="0.25">
      <c r="A276">
        <v>283</v>
      </c>
      <c r="B276" s="1">
        <v>45598</v>
      </c>
      <c r="C276">
        <v>292</v>
      </c>
      <c r="D276">
        <v>21</v>
      </c>
      <c r="E276">
        <v>5</v>
      </c>
      <c r="F276">
        <v>1</v>
      </c>
      <c r="G276" t="s">
        <v>1045</v>
      </c>
      <c r="H276">
        <f>_xlfn.XLOOKUP(D276, productos!$A$2:$A$150, productos!$D$2:$D$150, "No Encontrado", 0)</f>
        <v>3.25</v>
      </c>
      <c r="I276">
        <f t="shared" si="4"/>
        <v>16.25</v>
      </c>
    </row>
    <row r="277" spans="1:9" x14ac:dyDescent="0.25">
      <c r="A277">
        <v>20</v>
      </c>
      <c r="B277" s="1">
        <v>45600</v>
      </c>
      <c r="C277">
        <v>122</v>
      </c>
      <c r="D277">
        <v>7</v>
      </c>
      <c r="E277">
        <v>6</v>
      </c>
      <c r="F277">
        <v>2</v>
      </c>
      <c r="G277" t="s">
        <v>1044</v>
      </c>
      <c r="H277">
        <f>_xlfn.XLOOKUP(D277, productos!$A$2:$A$150, productos!$D$2:$D$150, "No Encontrado", 0)</f>
        <v>11.25</v>
      </c>
      <c r="I277">
        <f t="shared" si="4"/>
        <v>67.5</v>
      </c>
    </row>
    <row r="278" spans="1:9" x14ac:dyDescent="0.25">
      <c r="A278">
        <v>76</v>
      </c>
      <c r="B278" s="1">
        <v>45600</v>
      </c>
      <c r="C278">
        <v>147</v>
      </c>
      <c r="D278">
        <v>36</v>
      </c>
      <c r="E278">
        <v>5</v>
      </c>
      <c r="F278">
        <v>3</v>
      </c>
      <c r="G278" t="s">
        <v>1044</v>
      </c>
      <c r="H278">
        <f>_xlfn.XLOOKUP(D278, productos!$A$2:$A$150, productos!$D$2:$D$150, "No Encontrado", 0)</f>
        <v>3.25</v>
      </c>
      <c r="I278">
        <f t="shared" si="4"/>
        <v>16.25</v>
      </c>
    </row>
    <row r="279" spans="1:9" x14ac:dyDescent="0.25">
      <c r="A279">
        <v>158</v>
      </c>
      <c r="B279" s="1">
        <v>45600</v>
      </c>
      <c r="C279">
        <v>319</v>
      </c>
      <c r="D279">
        <v>26</v>
      </c>
      <c r="E279">
        <v>2</v>
      </c>
      <c r="F279">
        <v>5</v>
      </c>
      <c r="G279" t="s">
        <v>1045</v>
      </c>
      <c r="H279">
        <f>_xlfn.XLOOKUP(D279, productos!$A$2:$A$150, productos!$D$2:$D$150, "No Encontrado", 0)</f>
        <v>9.5399999999999991</v>
      </c>
      <c r="I279">
        <f t="shared" si="4"/>
        <v>19.079999999999998</v>
      </c>
    </row>
    <row r="280" spans="1:9" x14ac:dyDescent="0.25">
      <c r="A280">
        <v>155</v>
      </c>
      <c r="B280" s="1">
        <v>45602</v>
      </c>
      <c r="C280">
        <v>125</v>
      </c>
      <c r="D280">
        <v>2</v>
      </c>
      <c r="E280">
        <v>5</v>
      </c>
      <c r="F280">
        <v>3</v>
      </c>
      <c r="G280" t="s">
        <v>1045</v>
      </c>
      <c r="H280">
        <f>_xlfn.XLOOKUP(D280, productos!$A$2:$A$150, productos!$D$2:$D$150, "No Encontrado", 0)</f>
        <v>5.21</v>
      </c>
      <c r="I280">
        <f t="shared" si="4"/>
        <v>26.05</v>
      </c>
    </row>
    <row r="281" spans="1:9" x14ac:dyDescent="0.25">
      <c r="A281">
        <v>101</v>
      </c>
      <c r="B281" s="1">
        <v>45603</v>
      </c>
      <c r="C281">
        <v>281</v>
      </c>
      <c r="D281">
        <v>36</v>
      </c>
      <c r="E281">
        <v>1</v>
      </c>
      <c r="F281">
        <v>5</v>
      </c>
      <c r="G281" t="s">
        <v>1044</v>
      </c>
      <c r="H281">
        <f>_xlfn.XLOOKUP(D281, productos!$A$2:$A$150, productos!$D$2:$D$150, "No Encontrado", 0)</f>
        <v>3.25</v>
      </c>
      <c r="I281">
        <f t="shared" si="4"/>
        <v>3.25</v>
      </c>
    </row>
    <row r="282" spans="1:9" x14ac:dyDescent="0.25">
      <c r="A282">
        <v>250</v>
      </c>
      <c r="B282" s="1">
        <v>45604</v>
      </c>
      <c r="C282">
        <v>313</v>
      </c>
      <c r="D282">
        <v>24</v>
      </c>
      <c r="E282">
        <v>3</v>
      </c>
      <c r="F282">
        <v>5</v>
      </c>
      <c r="G282" t="s">
        <v>1045</v>
      </c>
      <c r="H282">
        <f>_xlfn.XLOOKUP(D282, productos!$A$2:$A$150, productos!$D$2:$D$150, "No Encontrado", 0)</f>
        <v>13.54</v>
      </c>
      <c r="I282">
        <f t="shared" si="4"/>
        <v>40.619999999999997</v>
      </c>
    </row>
    <row r="283" spans="1:9" x14ac:dyDescent="0.25">
      <c r="A283">
        <v>278</v>
      </c>
      <c r="B283" s="1">
        <v>45604</v>
      </c>
      <c r="C283">
        <v>180</v>
      </c>
      <c r="D283">
        <v>19</v>
      </c>
      <c r="E283">
        <v>3</v>
      </c>
      <c r="F283">
        <v>1</v>
      </c>
      <c r="G283" t="s">
        <v>1044</v>
      </c>
      <c r="H283">
        <f>_xlfn.XLOOKUP(D283, productos!$A$2:$A$150, productos!$D$2:$D$150, "No Encontrado", 0)</f>
        <v>6.54</v>
      </c>
      <c r="I283">
        <f t="shared" si="4"/>
        <v>19.62</v>
      </c>
    </row>
    <row r="284" spans="1:9" x14ac:dyDescent="0.25">
      <c r="A284">
        <v>176</v>
      </c>
      <c r="B284" s="1">
        <v>45605</v>
      </c>
      <c r="C284">
        <v>68</v>
      </c>
      <c r="D284">
        <v>33</v>
      </c>
      <c r="E284">
        <v>6</v>
      </c>
      <c r="F284">
        <v>5</v>
      </c>
      <c r="G284" t="s">
        <v>1044</v>
      </c>
      <c r="H284">
        <f>_xlfn.XLOOKUP(D284, productos!$A$2:$A$150, productos!$D$2:$D$150, "No Encontrado", 0)</f>
        <v>8.5399999999999991</v>
      </c>
      <c r="I284">
        <f t="shared" si="4"/>
        <v>51.239999999999995</v>
      </c>
    </row>
    <row r="285" spans="1:9" x14ac:dyDescent="0.25">
      <c r="A285">
        <v>188</v>
      </c>
      <c r="B285" s="1">
        <v>45605</v>
      </c>
      <c r="C285">
        <v>323</v>
      </c>
      <c r="D285">
        <v>36</v>
      </c>
      <c r="E285">
        <v>5</v>
      </c>
      <c r="F285">
        <v>5</v>
      </c>
      <c r="G285" t="s">
        <v>1045</v>
      </c>
      <c r="H285">
        <f>_xlfn.XLOOKUP(D285, productos!$A$2:$A$150, productos!$D$2:$D$150, "No Encontrado", 0)</f>
        <v>3.25</v>
      </c>
      <c r="I285">
        <f t="shared" si="4"/>
        <v>16.25</v>
      </c>
    </row>
    <row r="286" spans="1:9" x14ac:dyDescent="0.25">
      <c r="A286">
        <v>12</v>
      </c>
      <c r="B286" s="1">
        <v>45608</v>
      </c>
      <c r="C286">
        <v>247</v>
      </c>
      <c r="D286">
        <v>20</v>
      </c>
      <c r="E286">
        <v>5</v>
      </c>
      <c r="F286">
        <v>1</v>
      </c>
      <c r="G286" t="s">
        <v>1044</v>
      </c>
      <c r="H286">
        <f>_xlfn.XLOOKUP(D286, productos!$A$2:$A$150, productos!$D$2:$D$150, "No Encontrado", 0)</f>
        <v>4.25</v>
      </c>
      <c r="I286">
        <f t="shared" si="4"/>
        <v>21.25</v>
      </c>
    </row>
    <row r="287" spans="1:9" x14ac:dyDescent="0.25">
      <c r="A287">
        <v>107</v>
      </c>
      <c r="B287" s="1">
        <v>45609</v>
      </c>
      <c r="C287">
        <v>7</v>
      </c>
      <c r="D287">
        <v>24</v>
      </c>
      <c r="E287">
        <v>5</v>
      </c>
      <c r="F287">
        <v>5</v>
      </c>
      <c r="G287" t="s">
        <v>1044</v>
      </c>
      <c r="H287">
        <f>_xlfn.XLOOKUP(D287, productos!$A$2:$A$150, productos!$D$2:$D$150, "No Encontrado", 0)</f>
        <v>13.54</v>
      </c>
      <c r="I287">
        <f t="shared" si="4"/>
        <v>67.699999999999989</v>
      </c>
    </row>
    <row r="288" spans="1:9" x14ac:dyDescent="0.25">
      <c r="A288">
        <v>65</v>
      </c>
      <c r="B288" s="1">
        <v>45614</v>
      </c>
      <c r="C288">
        <v>205</v>
      </c>
      <c r="D288">
        <v>27</v>
      </c>
      <c r="E288">
        <v>5</v>
      </c>
      <c r="F288">
        <v>3</v>
      </c>
      <c r="G288" t="s">
        <v>1044</v>
      </c>
      <c r="H288">
        <f>_xlfn.XLOOKUP(D288, productos!$A$2:$A$150, productos!$D$2:$D$150, "No Encontrado", 0)</f>
        <v>6.21</v>
      </c>
      <c r="I288">
        <f t="shared" si="4"/>
        <v>31.05</v>
      </c>
    </row>
    <row r="289" spans="1:9" x14ac:dyDescent="0.25">
      <c r="A289">
        <v>253</v>
      </c>
      <c r="B289" s="1">
        <v>45614</v>
      </c>
      <c r="C289">
        <v>14</v>
      </c>
      <c r="D289">
        <v>15</v>
      </c>
      <c r="E289">
        <v>2</v>
      </c>
      <c r="F289">
        <v>5</v>
      </c>
      <c r="G289" t="s">
        <v>1044</v>
      </c>
      <c r="H289">
        <f>_xlfn.XLOOKUP(D289, productos!$A$2:$A$150, productos!$D$2:$D$150, "No Encontrado", 0)</f>
        <v>3.51</v>
      </c>
      <c r="I289">
        <f t="shared" si="4"/>
        <v>7.02</v>
      </c>
    </row>
    <row r="290" spans="1:9" x14ac:dyDescent="0.25">
      <c r="A290">
        <v>16</v>
      </c>
      <c r="B290" s="1">
        <v>45616</v>
      </c>
      <c r="C290">
        <v>106</v>
      </c>
      <c r="D290">
        <v>3</v>
      </c>
      <c r="E290">
        <v>1</v>
      </c>
      <c r="F290">
        <v>5</v>
      </c>
      <c r="G290" t="s">
        <v>1045</v>
      </c>
      <c r="H290">
        <f>_xlfn.XLOOKUP(D290, productos!$A$2:$A$150, productos!$D$2:$D$150, "No Encontrado", 0)</f>
        <v>17.23</v>
      </c>
      <c r="I290">
        <f t="shared" si="4"/>
        <v>17.23</v>
      </c>
    </row>
    <row r="291" spans="1:9" x14ac:dyDescent="0.25">
      <c r="A291">
        <v>111</v>
      </c>
      <c r="B291" s="1">
        <v>45618</v>
      </c>
      <c r="C291">
        <v>103</v>
      </c>
      <c r="D291">
        <v>29</v>
      </c>
      <c r="E291">
        <v>5</v>
      </c>
      <c r="F291">
        <v>2</v>
      </c>
      <c r="G291" t="s">
        <v>1044</v>
      </c>
      <c r="H291">
        <f>_xlfn.XLOOKUP(D291, productos!$A$2:$A$150, productos!$D$2:$D$150, "No Encontrado", 0)</f>
        <v>11.54</v>
      </c>
      <c r="I291">
        <f t="shared" si="4"/>
        <v>57.699999999999996</v>
      </c>
    </row>
    <row r="292" spans="1:9" x14ac:dyDescent="0.25">
      <c r="A292">
        <v>127</v>
      </c>
      <c r="B292" s="1">
        <v>45619</v>
      </c>
      <c r="C292">
        <v>95</v>
      </c>
      <c r="D292">
        <v>1</v>
      </c>
      <c r="E292">
        <v>3</v>
      </c>
      <c r="F292">
        <v>5</v>
      </c>
      <c r="G292" t="s">
        <v>1045</v>
      </c>
      <c r="H292">
        <f>_xlfn.XLOOKUP(D292, productos!$A$2:$A$150, productos!$D$2:$D$150, "No Encontrado", 0)</f>
        <v>12.24</v>
      </c>
      <c r="I292">
        <f t="shared" si="4"/>
        <v>36.72</v>
      </c>
    </row>
    <row r="293" spans="1:9" x14ac:dyDescent="0.25">
      <c r="A293">
        <v>231</v>
      </c>
      <c r="B293" s="1">
        <v>45619</v>
      </c>
      <c r="C293">
        <v>39</v>
      </c>
      <c r="D293">
        <v>31</v>
      </c>
      <c r="E293">
        <v>3</v>
      </c>
      <c r="F293">
        <v>1</v>
      </c>
      <c r="G293" t="s">
        <v>1045</v>
      </c>
      <c r="H293">
        <f>_xlfn.XLOOKUP(D293, productos!$A$2:$A$150, productos!$D$2:$D$150, "No Encontrado", 0)</f>
        <v>5.24</v>
      </c>
      <c r="I293">
        <f t="shared" si="4"/>
        <v>15.72</v>
      </c>
    </row>
    <row r="294" spans="1:9" x14ac:dyDescent="0.25">
      <c r="A294">
        <v>256</v>
      </c>
      <c r="B294" s="1">
        <v>45620</v>
      </c>
      <c r="C294">
        <v>34</v>
      </c>
      <c r="D294">
        <v>8</v>
      </c>
      <c r="E294">
        <v>5</v>
      </c>
      <c r="F294">
        <v>5</v>
      </c>
      <c r="G294" t="s">
        <v>1045</v>
      </c>
      <c r="H294">
        <f>_xlfn.XLOOKUP(D294, productos!$A$2:$A$150, productos!$D$2:$D$150, "No Encontrado", 0)</f>
        <v>16.21</v>
      </c>
      <c r="I294">
        <f t="shared" si="4"/>
        <v>81.050000000000011</v>
      </c>
    </row>
    <row r="295" spans="1:9" x14ac:dyDescent="0.25">
      <c r="A295">
        <v>120</v>
      </c>
      <c r="B295" s="1">
        <v>45621</v>
      </c>
      <c r="C295">
        <v>16</v>
      </c>
      <c r="D295">
        <v>38</v>
      </c>
      <c r="E295">
        <v>4</v>
      </c>
      <c r="F295">
        <v>2</v>
      </c>
      <c r="G295" t="s">
        <v>1045</v>
      </c>
      <c r="H295">
        <f>_xlfn.XLOOKUP(D295, productos!$A$2:$A$150, productos!$D$2:$D$150, "No Encontrado", 0)</f>
        <v>6.21</v>
      </c>
      <c r="I295">
        <f t="shared" si="4"/>
        <v>24.84</v>
      </c>
    </row>
    <row r="296" spans="1:9" x14ac:dyDescent="0.25">
      <c r="A296">
        <v>115</v>
      </c>
      <c r="B296" s="1">
        <v>45622</v>
      </c>
      <c r="C296">
        <v>19</v>
      </c>
      <c r="D296">
        <v>21</v>
      </c>
      <c r="E296">
        <v>4</v>
      </c>
      <c r="F296">
        <v>3</v>
      </c>
      <c r="G296" t="s">
        <v>1044</v>
      </c>
      <c r="H296">
        <f>_xlfn.XLOOKUP(D296, productos!$A$2:$A$150, productos!$D$2:$D$150, "No Encontrado", 0)</f>
        <v>3.25</v>
      </c>
      <c r="I296">
        <f t="shared" si="4"/>
        <v>13</v>
      </c>
    </row>
    <row r="297" spans="1:9" x14ac:dyDescent="0.25">
      <c r="A297">
        <v>200</v>
      </c>
      <c r="B297" s="1">
        <v>45622</v>
      </c>
      <c r="C297">
        <v>142</v>
      </c>
      <c r="D297">
        <v>35</v>
      </c>
      <c r="E297">
        <v>6</v>
      </c>
      <c r="F297">
        <v>2</v>
      </c>
      <c r="G297" t="s">
        <v>1044</v>
      </c>
      <c r="H297">
        <f>_xlfn.XLOOKUP(D297, productos!$A$2:$A$150, productos!$D$2:$D$150, "No Encontrado", 0)</f>
        <v>4.25</v>
      </c>
      <c r="I297">
        <f t="shared" si="4"/>
        <v>25.5</v>
      </c>
    </row>
    <row r="298" spans="1:9" x14ac:dyDescent="0.25">
      <c r="A298">
        <v>221</v>
      </c>
      <c r="B298" s="1">
        <v>45624</v>
      </c>
      <c r="C298">
        <v>31</v>
      </c>
      <c r="D298">
        <v>4</v>
      </c>
      <c r="E298">
        <v>2</v>
      </c>
      <c r="F298">
        <v>1</v>
      </c>
      <c r="G298" t="s">
        <v>1044</v>
      </c>
      <c r="H298">
        <f>_xlfn.XLOOKUP(D298, productos!$A$2:$A$150, productos!$D$2:$D$150, "No Encontrado", 0)</f>
        <v>19.23</v>
      </c>
      <c r="I298">
        <f t="shared" si="4"/>
        <v>38.46</v>
      </c>
    </row>
    <row r="299" spans="1:9" x14ac:dyDescent="0.25">
      <c r="A299">
        <v>319</v>
      </c>
      <c r="B299" s="1">
        <v>45624</v>
      </c>
      <c r="C299">
        <v>199</v>
      </c>
      <c r="D299">
        <v>12</v>
      </c>
      <c r="E299">
        <v>4</v>
      </c>
      <c r="F299">
        <v>4</v>
      </c>
      <c r="G299" t="s">
        <v>1044</v>
      </c>
      <c r="H299">
        <f>_xlfn.XLOOKUP(D299, productos!$A$2:$A$150, productos!$D$2:$D$150, "No Encontrado", 0)</f>
        <v>8.1199999999999992</v>
      </c>
      <c r="I299">
        <f t="shared" si="4"/>
        <v>32.479999999999997</v>
      </c>
    </row>
    <row r="300" spans="1:9" x14ac:dyDescent="0.25">
      <c r="A300">
        <v>161</v>
      </c>
      <c r="B300" s="1">
        <v>45625</v>
      </c>
      <c r="C300">
        <v>134</v>
      </c>
      <c r="D300">
        <v>14</v>
      </c>
      <c r="E300">
        <v>5</v>
      </c>
      <c r="F300">
        <v>3</v>
      </c>
      <c r="G300" t="s">
        <v>1044</v>
      </c>
      <c r="H300">
        <f>_xlfn.XLOOKUP(D300, productos!$A$2:$A$150, productos!$D$2:$D$150, "No Encontrado", 0)</f>
        <v>12.36</v>
      </c>
      <c r="I300">
        <f t="shared" si="4"/>
        <v>61.8</v>
      </c>
    </row>
    <row r="301" spans="1:9" x14ac:dyDescent="0.25">
      <c r="A301">
        <v>151</v>
      </c>
      <c r="B301" s="1">
        <v>45627</v>
      </c>
      <c r="C301">
        <v>317</v>
      </c>
      <c r="D301">
        <v>20</v>
      </c>
      <c r="E301">
        <v>2</v>
      </c>
      <c r="F301">
        <v>2</v>
      </c>
      <c r="G301" t="s">
        <v>1044</v>
      </c>
      <c r="H301">
        <f>_xlfn.XLOOKUP(D301, productos!$A$2:$A$150, productos!$D$2:$D$150, "No Encontrado", 0)</f>
        <v>4.25</v>
      </c>
      <c r="I301">
        <f t="shared" si="4"/>
        <v>8.5</v>
      </c>
    </row>
    <row r="302" spans="1:9" x14ac:dyDescent="0.25">
      <c r="A302">
        <v>196</v>
      </c>
      <c r="B302" s="1">
        <v>45627</v>
      </c>
      <c r="C302">
        <v>104</v>
      </c>
      <c r="D302">
        <v>27</v>
      </c>
      <c r="E302">
        <v>4</v>
      </c>
      <c r="F302">
        <v>1</v>
      </c>
      <c r="G302" t="s">
        <v>1044</v>
      </c>
      <c r="H302">
        <f>_xlfn.XLOOKUP(D302, productos!$A$2:$A$150, productos!$D$2:$D$150, "No Encontrado", 0)</f>
        <v>6.21</v>
      </c>
      <c r="I302">
        <f t="shared" si="4"/>
        <v>24.84</v>
      </c>
    </row>
    <row r="303" spans="1:9" x14ac:dyDescent="0.25">
      <c r="A303">
        <v>7</v>
      </c>
      <c r="B303" s="1">
        <v>45629</v>
      </c>
      <c r="C303">
        <v>43</v>
      </c>
      <c r="D303">
        <v>23</v>
      </c>
      <c r="E303">
        <v>6</v>
      </c>
      <c r="F303">
        <v>5</v>
      </c>
      <c r="G303" t="s">
        <v>1044</v>
      </c>
      <c r="H303">
        <f>_xlfn.XLOOKUP(D303, productos!$A$2:$A$150, productos!$D$2:$D$150, "No Encontrado", 0)</f>
        <v>8.23</v>
      </c>
      <c r="I303">
        <f t="shared" si="4"/>
        <v>49.38</v>
      </c>
    </row>
    <row r="304" spans="1:9" x14ac:dyDescent="0.25">
      <c r="A304">
        <v>64</v>
      </c>
      <c r="B304" s="1">
        <v>45630</v>
      </c>
      <c r="C304">
        <v>82</v>
      </c>
      <c r="D304">
        <v>24</v>
      </c>
      <c r="E304">
        <v>4</v>
      </c>
      <c r="F304">
        <v>1</v>
      </c>
      <c r="G304" t="s">
        <v>1044</v>
      </c>
      <c r="H304">
        <f>_xlfn.XLOOKUP(D304, productos!$A$2:$A$150, productos!$D$2:$D$150, "No Encontrado", 0)</f>
        <v>13.54</v>
      </c>
      <c r="I304">
        <f t="shared" si="4"/>
        <v>54.16</v>
      </c>
    </row>
    <row r="305" spans="1:9" x14ac:dyDescent="0.25">
      <c r="A305">
        <v>122</v>
      </c>
      <c r="B305" s="1">
        <v>45630</v>
      </c>
      <c r="C305">
        <v>237</v>
      </c>
      <c r="D305">
        <v>14</v>
      </c>
      <c r="E305">
        <v>5</v>
      </c>
      <c r="F305">
        <v>1</v>
      </c>
      <c r="G305" t="s">
        <v>1044</v>
      </c>
      <c r="H305">
        <f>_xlfn.XLOOKUP(D305, productos!$A$2:$A$150, productos!$D$2:$D$150, "No Encontrado", 0)</f>
        <v>12.36</v>
      </c>
      <c r="I305">
        <f t="shared" si="4"/>
        <v>61.8</v>
      </c>
    </row>
    <row r="306" spans="1:9" x14ac:dyDescent="0.25">
      <c r="A306">
        <v>269</v>
      </c>
      <c r="B306" s="1">
        <v>45632</v>
      </c>
      <c r="C306">
        <v>66</v>
      </c>
      <c r="D306">
        <v>15</v>
      </c>
      <c r="E306">
        <v>2</v>
      </c>
      <c r="F306">
        <v>1</v>
      </c>
      <c r="G306" t="s">
        <v>1044</v>
      </c>
      <c r="H306">
        <f>_xlfn.XLOOKUP(D306, productos!$A$2:$A$150, productos!$D$2:$D$150, "No Encontrado", 0)</f>
        <v>3.51</v>
      </c>
      <c r="I306">
        <f t="shared" si="4"/>
        <v>7.02</v>
      </c>
    </row>
    <row r="307" spans="1:9" x14ac:dyDescent="0.25">
      <c r="A307">
        <v>145</v>
      </c>
      <c r="B307" s="1">
        <v>45633</v>
      </c>
      <c r="C307">
        <v>257</v>
      </c>
      <c r="D307">
        <v>13</v>
      </c>
      <c r="E307">
        <v>4</v>
      </c>
      <c r="F307">
        <v>3</v>
      </c>
      <c r="G307" t="s">
        <v>1044</v>
      </c>
      <c r="H307">
        <f>_xlfn.XLOOKUP(D307, productos!$A$2:$A$150, productos!$D$2:$D$150, "No Encontrado", 0)</f>
        <v>12.56</v>
      </c>
      <c r="I307">
        <f t="shared" si="4"/>
        <v>50.24</v>
      </c>
    </row>
    <row r="308" spans="1:9" x14ac:dyDescent="0.25">
      <c r="A308">
        <v>264</v>
      </c>
      <c r="B308" s="1">
        <v>45633</v>
      </c>
      <c r="C308">
        <v>275</v>
      </c>
      <c r="D308">
        <v>24</v>
      </c>
      <c r="E308">
        <v>4</v>
      </c>
      <c r="F308">
        <v>4</v>
      </c>
      <c r="G308" t="s">
        <v>1044</v>
      </c>
      <c r="H308">
        <f>_xlfn.XLOOKUP(D308, productos!$A$2:$A$150, productos!$D$2:$D$150, "No Encontrado", 0)</f>
        <v>13.54</v>
      </c>
      <c r="I308">
        <f t="shared" si="4"/>
        <v>54.16</v>
      </c>
    </row>
    <row r="309" spans="1:9" x14ac:dyDescent="0.25">
      <c r="A309">
        <v>167</v>
      </c>
      <c r="B309" s="1">
        <v>45634</v>
      </c>
      <c r="C309">
        <v>1</v>
      </c>
      <c r="D309">
        <v>28</v>
      </c>
      <c r="E309">
        <v>4</v>
      </c>
      <c r="F309">
        <v>5</v>
      </c>
      <c r="G309" t="s">
        <v>1044</v>
      </c>
      <c r="H309">
        <f>_xlfn.XLOOKUP(D309, productos!$A$2:$A$150, productos!$D$2:$D$150, "No Encontrado", 0)</f>
        <v>9.4499999999999993</v>
      </c>
      <c r="I309">
        <f t="shared" si="4"/>
        <v>37.799999999999997</v>
      </c>
    </row>
    <row r="310" spans="1:9" x14ac:dyDescent="0.25">
      <c r="A310">
        <v>222</v>
      </c>
      <c r="B310" s="1">
        <v>45634</v>
      </c>
      <c r="C310">
        <v>260</v>
      </c>
      <c r="D310">
        <v>11</v>
      </c>
      <c r="E310">
        <v>2</v>
      </c>
      <c r="F310">
        <v>4</v>
      </c>
      <c r="G310" t="s">
        <v>1044</v>
      </c>
      <c r="H310">
        <f>_xlfn.XLOOKUP(D310, productos!$A$2:$A$150, productos!$D$2:$D$150, "No Encontrado", 0)</f>
        <v>11.23</v>
      </c>
      <c r="I310">
        <f t="shared" si="4"/>
        <v>22.46</v>
      </c>
    </row>
    <row r="311" spans="1:9" x14ac:dyDescent="0.25">
      <c r="A311">
        <v>318</v>
      </c>
      <c r="B311" s="1">
        <v>45636</v>
      </c>
      <c r="C311">
        <v>258</v>
      </c>
      <c r="D311">
        <v>1</v>
      </c>
      <c r="E311">
        <v>5</v>
      </c>
      <c r="F311">
        <v>1</v>
      </c>
      <c r="G311" t="s">
        <v>1044</v>
      </c>
      <c r="H311">
        <f>_xlfn.XLOOKUP(D311, productos!$A$2:$A$150, productos!$D$2:$D$150, "No Encontrado", 0)</f>
        <v>12.24</v>
      </c>
      <c r="I311">
        <f t="shared" si="4"/>
        <v>61.2</v>
      </c>
    </row>
    <row r="312" spans="1:9" x14ac:dyDescent="0.25">
      <c r="A312">
        <v>229</v>
      </c>
      <c r="B312" s="1">
        <v>45638</v>
      </c>
      <c r="C312">
        <v>153</v>
      </c>
      <c r="D312">
        <v>14</v>
      </c>
      <c r="E312">
        <v>5</v>
      </c>
      <c r="F312">
        <v>4</v>
      </c>
      <c r="G312" t="s">
        <v>1044</v>
      </c>
      <c r="H312">
        <f>_xlfn.XLOOKUP(D312, productos!$A$2:$A$150, productos!$D$2:$D$150, "No Encontrado", 0)</f>
        <v>12.36</v>
      </c>
      <c r="I312">
        <f t="shared" si="4"/>
        <v>61.8</v>
      </c>
    </row>
    <row r="313" spans="1:9" x14ac:dyDescent="0.25">
      <c r="A313">
        <v>325</v>
      </c>
      <c r="B313" s="1">
        <v>45638</v>
      </c>
      <c r="C313">
        <v>323</v>
      </c>
      <c r="D313">
        <v>3</v>
      </c>
      <c r="E313">
        <v>2</v>
      </c>
      <c r="F313">
        <v>5</v>
      </c>
      <c r="G313" t="s">
        <v>1044</v>
      </c>
      <c r="H313">
        <f>_xlfn.XLOOKUP(D313, productos!$A$2:$A$150, productos!$D$2:$D$150, "No Encontrado", 0)</f>
        <v>17.23</v>
      </c>
      <c r="I313">
        <f t="shared" si="4"/>
        <v>34.46</v>
      </c>
    </row>
    <row r="314" spans="1:9" x14ac:dyDescent="0.25">
      <c r="A314">
        <v>316</v>
      </c>
      <c r="B314" s="1">
        <v>45639</v>
      </c>
      <c r="C314">
        <v>119</v>
      </c>
      <c r="D314">
        <v>29</v>
      </c>
      <c r="E314">
        <v>5</v>
      </c>
      <c r="F314">
        <v>1</v>
      </c>
      <c r="G314" t="s">
        <v>1044</v>
      </c>
      <c r="H314">
        <f>_xlfn.XLOOKUP(D314, productos!$A$2:$A$150, productos!$D$2:$D$150, "No Encontrado", 0)</f>
        <v>11.54</v>
      </c>
      <c r="I314">
        <f t="shared" si="4"/>
        <v>57.699999999999996</v>
      </c>
    </row>
    <row r="315" spans="1:9" x14ac:dyDescent="0.25">
      <c r="A315">
        <v>195</v>
      </c>
      <c r="B315" s="1">
        <v>45641</v>
      </c>
      <c r="C315">
        <v>71</v>
      </c>
      <c r="D315">
        <v>13</v>
      </c>
      <c r="E315">
        <v>4</v>
      </c>
      <c r="F315">
        <v>2</v>
      </c>
      <c r="G315" t="s">
        <v>1044</v>
      </c>
      <c r="H315">
        <f>_xlfn.XLOOKUP(D315, productos!$A$2:$A$150, productos!$D$2:$D$150, "No Encontrado", 0)</f>
        <v>12.56</v>
      </c>
      <c r="I315">
        <f t="shared" si="4"/>
        <v>50.24</v>
      </c>
    </row>
    <row r="316" spans="1:9" x14ac:dyDescent="0.25">
      <c r="A316">
        <v>218</v>
      </c>
      <c r="B316" s="1">
        <v>45641</v>
      </c>
      <c r="C316">
        <v>36</v>
      </c>
      <c r="D316">
        <v>35</v>
      </c>
      <c r="E316">
        <v>1</v>
      </c>
      <c r="F316">
        <v>2</v>
      </c>
      <c r="G316" t="s">
        <v>1044</v>
      </c>
      <c r="H316">
        <f>_xlfn.XLOOKUP(D316, productos!$A$2:$A$150, productos!$D$2:$D$150, "No Encontrado", 0)</f>
        <v>4.25</v>
      </c>
      <c r="I316">
        <f t="shared" si="4"/>
        <v>4.25</v>
      </c>
    </row>
    <row r="317" spans="1:9" x14ac:dyDescent="0.25">
      <c r="A317">
        <v>138</v>
      </c>
      <c r="B317" s="1">
        <v>45642</v>
      </c>
      <c r="C317">
        <v>148</v>
      </c>
      <c r="D317">
        <v>19</v>
      </c>
      <c r="E317">
        <v>5</v>
      </c>
      <c r="F317">
        <v>5</v>
      </c>
      <c r="G317" t="s">
        <v>1044</v>
      </c>
      <c r="H317">
        <f>_xlfn.XLOOKUP(D317, productos!$A$2:$A$150, productos!$D$2:$D$150, "No Encontrado", 0)</f>
        <v>6.54</v>
      </c>
      <c r="I317">
        <f t="shared" si="4"/>
        <v>32.700000000000003</v>
      </c>
    </row>
    <row r="318" spans="1:9" x14ac:dyDescent="0.25">
      <c r="A318">
        <v>157</v>
      </c>
      <c r="B318" s="1">
        <v>45644</v>
      </c>
      <c r="C318">
        <v>179</v>
      </c>
      <c r="D318">
        <v>18</v>
      </c>
      <c r="E318">
        <v>1</v>
      </c>
      <c r="F318">
        <v>4</v>
      </c>
      <c r="G318" t="s">
        <v>1045</v>
      </c>
      <c r="H318">
        <f>_xlfn.XLOOKUP(D318, productos!$A$2:$A$150, productos!$D$2:$D$150, "No Encontrado", 0)</f>
        <v>7.25</v>
      </c>
      <c r="I318">
        <f t="shared" si="4"/>
        <v>7.25</v>
      </c>
    </row>
    <row r="319" spans="1:9" x14ac:dyDescent="0.25">
      <c r="A319">
        <v>55</v>
      </c>
      <c r="B319" s="1">
        <v>45645</v>
      </c>
      <c r="C319">
        <v>264</v>
      </c>
      <c r="D319">
        <v>11</v>
      </c>
      <c r="E319">
        <v>4</v>
      </c>
      <c r="F319">
        <v>1</v>
      </c>
      <c r="G319" t="s">
        <v>1044</v>
      </c>
      <c r="H319">
        <f>_xlfn.XLOOKUP(D319, productos!$A$2:$A$150, productos!$D$2:$D$150, "No Encontrado", 0)</f>
        <v>11.23</v>
      </c>
      <c r="I319">
        <f t="shared" si="4"/>
        <v>44.92</v>
      </c>
    </row>
    <row r="320" spans="1:9" x14ac:dyDescent="0.25">
      <c r="A320">
        <v>213</v>
      </c>
      <c r="B320" s="1">
        <v>45645</v>
      </c>
      <c r="C320">
        <v>322</v>
      </c>
      <c r="D320">
        <v>21</v>
      </c>
      <c r="E320">
        <v>4</v>
      </c>
      <c r="F320">
        <v>4</v>
      </c>
      <c r="G320" t="s">
        <v>1044</v>
      </c>
      <c r="H320">
        <f>_xlfn.XLOOKUP(D320, productos!$A$2:$A$150, productos!$D$2:$D$150, "No Encontrado", 0)</f>
        <v>3.25</v>
      </c>
      <c r="I320">
        <f t="shared" si="4"/>
        <v>13</v>
      </c>
    </row>
    <row r="321" spans="1:9" x14ac:dyDescent="0.25">
      <c r="A321">
        <v>106</v>
      </c>
      <c r="B321" s="1">
        <v>45647</v>
      </c>
      <c r="C321">
        <v>67</v>
      </c>
      <c r="D321">
        <v>21</v>
      </c>
      <c r="E321">
        <v>6</v>
      </c>
      <c r="F321">
        <v>4</v>
      </c>
      <c r="G321" t="s">
        <v>1044</v>
      </c>
      <c r="H321">
        <f>_xlfn.XLOOKUP(D321, productos!$A$2:$A$150, productos!$D$2:$D$150, "No Encontrado", 0)</f>
        <v>3.25</v>
      </c>
      <c r="I321">
        <f t="shared" si="4"/>
        <v>19.5</v>
      </c>
    </row>
    <row r="322" spans="1:9" x14ac:dyDescent="0.25">
      <c r="A322">
        <v>144</v>
      </c>
      <c r="B322" s="1">
        <v>45648</v>
      </c>
      <c r="C322">
        <v>47</v>
      </c>
      <c r="D322">
        <v>10</v>
      </c>
      <c r="E322">
        <v>1</v>
      </c>
      <c r="F322">
        <v>4</v>
      </c>
      <c r="G322" t="s">
        <v>1045</v>
      </c>
      <c r="H322">
        <f>_xlfn.XLOOKUP(D322, productos!$A$2:$A$150, productos!$D$2:$D$150, "No Encontrado", 0)</f>
        <v>14.25</v>
      </c>
      <c r="I322">
        <f t="shared" si="4"/>
        <v>14.25</v>
      </c>
    </row>
    <row r="323" spans="1:9" x14ac:dyDescent="0.25">
      <c r="A323">
        <v>75</v>
      </c>
      <c r="B323" s="1">
        <v>45650</v>
      </c>
      <c r="C323">
        <v>200</v>
      </c>
      <c r="D323">
        <v>35</v>
      </c>
      <c r="E323">
        <v>4</v>
      </c>
      <c r="F323">
        <v>4</v>
      </c>
      <c r="G323" t="s">
        <v>1044</v>
      </c>
      <c r="H323">
        <f>_xlfn.XLOOKUP(D323, productos!$A$2:$A$150, productos!$D$2:$D$150, "No Encontrado", 0)</f>
        <v>4.25</v>
      </c>
      <c r="I323">
        <f t="shared" ref="I323:I386" si="5">E323*H323</f>
        <v>17</v>
      </c>
    </row>
    <row r="324" spans="1:9" x14ac:dyDescent="0.25">
      <c r="A324">
        <v>162</v>
      </c>
      <c r="B324" s="1">
        <v>45651</v>
      </c>
      <c r="C324">
        <v>319</v>
      </c>
      <c r="D324">
        <v>16</v>
      </c>
      <c r="E324">
        <v>5</v>
      </c>
      <c r="F324">
        <v>3</v>
      </c>
      <c r="G324" t="s">
        <v>1044</v>
      </c>
      <c r="H324">
        <f>_xlfn.XLOOKUP(D324, productos!$A$2:$A$150, productos!$D$2:$D$150, "No Encontrado", 0)</f>
        <v>15.23</v>
      </c>
      <c r="I324">
        <f t="shared" si="5"/>
        <v>76.150000000000006</v>
      </c>
    </row>
    <row r="325" spans="1:9" x14ac:dyDescent="0.25">
      <c r="A325">
        <v>9</v>
      </c>
      <c r="B325" s="1">
        <v>45652</v>
      </c>
      <c r="C325">
        <v>21</v>
      </c>
      <c r="D325">
        <v>34</v>
      </c>
      <c r="E325">
        <v>1</v>
      </c>
      <c r="F325">
        <v>5</v>
      </c>
      <c r="G325" t="s">
        <v>1044</v>
      </c>
      <c r="H325">
        <f>_xlfn.XLOOKUP(D325, productos!$A$2:$A$150, productos!$D$2:$D$150, "No Encontrado", 0)</f>
        <v>5.45</v>
      </c>
      <c r="I325">
        <f t="shared" si="5"/>
        <v>5.45</v>
      </c>
    </row>
    <row r="326" spans="1:9" x14ac:dyDescent="0.25">
      <c r="A326">
        <v>198</v>
      </c>
      <c r="B326" s="1">
        <v>45654</v>
      </c>
      <c r="C326">
        <v>106</v>
      </c>
      <c r="D326">
        <v>7</v>
      </c>
      <c r="E326">
        <v>5</v>
      </c>
      <c r="F326">
        <v>4</v>
      </c>
      <c r="G326" t="s">
        <v>1044</v>
      </c>
      <c r="H326">
        <f>_xlfn.XLOOKUP(D326, productos!$A$2:$A$150, productos!$D$2:$D$150, "No Encontrado", 0)</f>
        <v>11.25</v>
      </c>
      <c r="I326">
        <f t="shared" si="5"/>
        <v>56.25</v>
      </c>
    </row>
    <row r="327" spans="1:9" x14ac:dyDescent="0.25">
      <c r="A327">
        <v>230</v>
      </c>
      <c r="B327" s="1">
        <v>45655</v>
      </c>
      <c r="C327">
        <v>252</v>
      </c>
      <c r="D327">
        <v>6</v>
      </c>
      <c r="E327">
        <v>3</v>
      </c>
      <c r="F327">
        <v>5</v>
      </c>
      <c r="G327" t="s">
        <v>1044</v>
      </c>
      <c r="H327">
        <f>_xlfn.XLOOKUP(D327, productos!$A$2:$A$150, productos!$D$2:$D$150, "No Encontrado", 0)</f>
        <v>28.56</v>
      </c>
      <c r="I327">
        <f t="shared" si="5"/>
        <v>85.679999999999993</v>
      </c>
    </row>
    <row r="328" spans="1:9" x14ac:dyDescent="0.25">
      <c r="A328">
        <v>680</v>
      </c>
      <c r="B328" s="1">
        <v>45326</v>
      </c>
      <c r="C328">
        <v>112</v>
      </c>
      <c r="D328">
        <v>37</v>
      </c>
      <c r="E328">
        <v>2</v>
      </c>
      <c r="F328">
        <v>5</v>
      </c>
      <c r="G328" t="s">
        <v>1044</v>
      </c>
      <c r="H328">
        <f>_xlfn.XLOOKUP(D328, productos!$A$2:$A$150, productos!$D$2:$D$150, "No Encontrado", 0)</f>
        <v>3.65</v>
      </c>
      <c r="I328">
        <f t="shared" si="5"/>
        <v>7.3</v>
      </c>
    </row>
    <row r="329" spans="1:9" x14ac:dyDescent="0.25">
      <c r="A329">
        <v>681</v>
      </c>
      <c r="B329" s="1">
        <v>45335</v>
      </c>
      <c r="C329">
        <v>14</v>
      </c>
      <c r="D329">
        <v>29</v>
      </c>
      <c r="E329">
        <v>3</v>
      </c>
      <c r="F329">
        <v>3</v>
      </c>
      <c r="G329" t="s">
        <v>1044</v>
      </c>
      <c r="H329">
        <f>_xlfn.XLOOKUP(D329, productos!$A$2:$A$150, productos!$D$2:$D$150, "No Encontrado", 0)</f>
        <v>11.54</v>
      </c>
      <c r="I329">
        <f t="shared" si="5"/>
        <v>34.619999999999997</v>
      </c>
    </row>
    <row r="330" spans="1:9" x14ac:dyDescent="0.25">
      <c r="A330">
        <v>696</v>
      </c>
      <c r="B330" s="1">
        <v>45337</v>
      </c>
      <c r="C330">
        <v>76</v>
      </c>
      <c r="D330">
        <v>13</v>
      </c>
      <c r="E330">
        <v>3</v>
      </c>
      <c r="F330">
        <v>1</v>
      </c>
      <c r="G330" t="s">
        <v>1044</v>
      </c>
      <c r="H330">
        <f>_xlfn.XLOOKUP(D330, productos!$A$2:$A$150, productos!$D$2:$D$150, "No Encontrado", 0)</f>
        <v>12.56</v>
      </c>
      <c r="I330">
        <f t="shared" si="5"/>
        <v>37.68</v>
      </c>
    </row>
    <row r="331" spans="1:9" x14ac:dyDescent="0.25">
      <c r="A331">
        <v>691</v>
      </c>
      <c r="B331" s="1">
        <v>45343</v>
      </c>
      <c r="C331">
        <v>175</v>
      </c>
      <c r="D331">
        <v>14</v>
      </c>
      <c r="E331">
        <v>1</v>
      </c>
      <c r="F331">
        <v>1</v>
      </c>
      <c r="G331" t="s">
        <v>1044</v>
      </c>
      <c r="H331">
        <f>_xlfn.XLOOKUP(D331, productos!$A$2:$A$150, productos!$D$2:$D$150, "No Encontrado", 0)</f>
        <v>12.36</v>
      </c>
      <c r="I331">
        <f t="shared" si="5"/>
        <v>12.36</v>
      </c>
    </row>
    <row r="332" spans="1:9" x14ac:dyDescent="0.25">
      <c r="A332">
        <v>669</v>
      </c>
      <c r="B332" s="1">
        <v>45379</v>
      </c>
      <c r="C332">
        <v>44</v>
      </c>
      <c r="D332">
        <v>19</v>
      </c>
      <c r="E332">
        <v>4</v>
      </c>
      <c r="F332">
        <v>3</v>
      </c>
      <c r="G332" t="s">
        <v>1044</v>
      </c>
      <c r="H332">
        <f>_xlfn.XLOOKUP(D332, productos!$A$2:$A$150, productos!$D$2:$D$150, "No Encontrado", 0)</f>
        <v>6.54</v>
      </c>
      <c r="I332">
        <f t="shared" si="5"/>
        <v>26.16</v>
      </c>
    </row>
    <row r="333" spans="1:9" x14ac:dyDescent="0.25">
      <c r="A333">
        <v>677</v>
      </c>
      <c r="B333" s="1">
        <v>45393</v>
      </c>
      <c r="C333">
        <v>291</v>
      </c>
      <c r="D333">
        <v>10</v>
      </c>
      <c r="E333">
        <v>3</v>
      </c>
      <c r="F333">
        <v>5</v>
      </c>
      <c r="G333" t="s">
        <v>1044</v>
      </c>
      <c r="H333">
        <f>_xlfn.XLOOKUP(D333, productos!$A$2:$A$150, productos!$D$2:$D$150, "No Encontrado", 0)</f>
        <v>14.25</v>
      </c>
      <c r="I333">
        <f t="shared" si="5"/>
        <v>42.75</v>
      </c>
    </row>
    <row r="334" spans="1:9" x14ac:dyDescent="0.25">
      <c r="A334">
        <v>692</v>
      </c>
      <c r="B334" s="1">
        <v>45414</v>
      </c>
      <c r="C334">
        <v>303</v>
      </c>
      <c r="D334">
        <v>3</v>
      </c>
      <c r="E334">
        <v>5</v>
      </c>
      <c r="F334">
        <v>5</v>
      </c>
      <c r="G334" t="s">
        <v>1044</v>
      </c>
      <c r="H334">
        <f>_xlfn.XLOOKUP(D334, productos!$A$2:$A$150, productos!$D$2:$D$150, "No Encontrado", 0)</f>
        <v>17.23</v>
      </c>
      <c r="I334">
        <f t="shared" si="5"/>
        <v>86.15</v>
      </c>
    </row>
    <row r="335" spans="1:9" x14ac:dyDescent="0.25">
      <c r="A335">
        <v>686</v>
      </c>
      <c r="B335" s="1">
        <v>45419</v>
      </c>
      <c r="C335">
        <v>171</v>
      </c>
      <c r="D335">
        <v>16</v>
      </c>
      <c r="E335">
        <v>1</v>
      </c>
      <c r="F335">
        <v>3</v>
      </c>
      <c r="G335" t="s">
        <v>1044</v>
      </c>
      <c r="H335">
        <f>_xlfn.XLOOKUP(D335, productos!$A$2:$A$150, productos!$D$2:$D$150, "No Encontrado", 0)</f>
        <v>15.23</v>
      </c>
      <c r="I335">
        <f t="shared" si="5"/>
        <v>15.23</v>
      </c>
    </row>
    <row r="336" spans="1:9" x14ac:dyDescent="0.25">
      <c r="A336">
        <v>684</v>
      </c>
      <c r="B336" s="1">
        <v>45425</v>
      </c>
      <c r="C336">
        <v>180</v>
      </c>
      <c r="D336">
        <v>26</v>
      </c>
      <c r="E336">
        <v>3</v>
      </c>
      <c r="F336">
        <v>3</v>
      </c>
      <c r="G336" t="s">
        <v>1044</v>
      </c>
      <c r="H336">
        <f>_xlfn.XLOOKUP(D336, productos!$A$2:$A$150, productos!$D$2:$D$150, "No Encontrado", 0)</f>
        <v>9.5399999999999991</v>
      </c>
      <c r="I336">
        <f t="shared" si="5"/>
        <v>28.619999999999997</v>
      </c>
    </row>
    <row r="337" spans="1:9" x14ac:dyDescent="0.25">
      <c r="A337">
        <v>683</v>
      </c>
      <c r="B337" s="1">
        <v>45454</v>
      </c>
      <c r="C337">
        <v>200</v>
      </c>
      <c r="D337">
        <v>35</v>
      </c>
      <c r="E337">
        <v>3</v>
      </c>
      <c r="F337">
        <v>4</v>
      </c>
      <c r="G337" t="s">
        <v>1044</v>
      </c>
      <c r="H337">
        <f>_xlfn.XLOOKUP(D337, productos!$A$2:$A$150, productos!$D$2:$D$150, "No Encontrado", 0)</f>
        <v>4.25</v>
      </c>
      <c r="I337">
        <f t="shared" si="5"/>
        <v>12.75</v>
      </c>
    </row>
    <row r="338" spans="1:9" x14ac:dyDescent="0.25">
      <c r="A338">
        <v>685</v>
      </c>
      <c r="B338" s="1">
        <v>45454</v>
      </c>
      <c r="C338">
        <v>201</v>
      </c>
      <c r="D338">
        <v>20</v>
      </c>
      <c r="E338">
        <v>2</v>
      </c>
      <c r="F338">
        <v>3</v>
      </c>
      <c r="G338" t="s">
        <v>1044</v>
      </c>
      <c r="H338">
        <f>_xlfn.XLOOKUP(D338, productos!$A$2:$A$150, productos!$D$2:$D$150, "No Encontrado", 0)</f>
        <v>4.25</v>
      </c>
      <c r="I338">
        <f t="shared" si="5"/>
        <v>8.5</v>
      </c>
    </row>
    <row r="339" spans="1:9" x14ac:dyDescent="0.25">
      <c r="A339">
        <v>694</v>
      </c>
      <c r="B339" s="1">
        <v>45458</v>
      </c>
      <c r="C339">
        <v>114</v>
      </c>
      <c r="D339">
        <v>19</v>
      </c>
      <c r="E339">
        <v>5</v>
      </c>
      <c r="F339">
        <v>5</v>
      </c>
      <c r="G339" t="s">
        <v>1044</v>
      </c>
      <c r="H339">
        <f>_xlfn.XLOOKUP(D339, productos!$A$2:$A$150, productos!$D$2:$D$150, "No Encontrado", 0)</f>
        <v>6.54</v>
      </c>
      <c r="I339">
        <f t="shared" si="5"/>
        <v>32.700000000000003</v>
      </c>
    </row>
    <row r="340" spans="1:9" x14ac:dyDescent="0.25">
      <c r="A340">
        <v>688</v>
      </c>
      <c r="B340" s="1">
        <v>45480</v>
      </c>
      <c r="C340">
        <v>82</v>
      </c>
      <c r="D340">
        <v>23</v>
      </c>
      <c r="E340">
        <v>6</v>
      </c>
      <c r="F340">
        <v>1</v>
      </c>
      <c r="G340" t="s">
        <v>1045</v>
      </c>
      <c r="H340">
        <f>_xlfn.XLOOKUP(D340, productos!$A$2:$A$150, productos!$D$2:$D$150, "No Encontrado", 0)</f>
        <v>8.23</v>
      </c>
      <c r="I340">
        <f t="shared" si="5"/>
        <v>49.38</v>
      </c>
    </row>
    <row r="341" spans="1:9" x14ac:dyDescent="0.25">
      <c r="A341">
        <v>671</v>
      </c>
      <c r="B341" s="1">
        <v>45490</v>
      </c>
      <c r="C341">
        <v>286</v>
      </c>
      <c r="D341">
        <v>22</v>
      </c>
      <c r="E341">
        <v>1</v>
      </c>
      <c r="F341">
        <v>1</v>
      </c>
      <c r="G341" t="s">
        <v>1045</v>
      </c>
      <c r="H341">
        <f>_xlfn.XLOOKUP(D341, productos!$A$2:$A$150, productos!$D$2:$D$150, "No Encontrado", 0)</f>
        <v>4.21</v>
      </c>
      <c r="I341">
        <f t="shared" si="5"/>
        <v>4.21</v>
      </c>
    </row>
    <row r="342" spans="1:9" x14ac:dyDescent="0.25">
      <c r="A342">
        <v>682</v>
      </c>
      <c r="B342" s="1">
        <v>45493</v>
      </c>
      <c r="C342">
        <v>200</v>
      </c>
      <c r="D342">
        <v>17</v>
      </c>
      <c r="E342">
        <v>2</v>
      </c>
      <c r="F342">
        <v>2</v>
      </c>
      <c r="G342" t="s">
        <v>1044</v>
      </c>
      <c r="H342">
        <f>_xlfn.XLOOKUP(D342, productos!$A$2:$A$150, productos!$D$2:$D$150, "No Encontrado", 0)</f>
        <v>6.54</v>
      </c>
      <c r="I342">
        <f t="shared" si="5"/>
        <v>13.08</v>
      </c>
    </row>
    <row r="343" spans="1:9" x14ac:dyDescent="0.25">
      <c r="A343">
        <v>689</v>
      </c>
      <c r="B343" s="1">
        <v>45499</v>
      </c>
      <c r="C343">
        <v>187</v>
      </c>
      <c r="D343">
        <v>33</v>
      </c>
      <c r="E343">
        <v>3</v>
      </c>
      <c r="F343">
        <v>1</v>
      </c>
      <c r="G343" t="s">
        <v>1044</v>
      </c>
      <c r="H343">
        <f>_xlfn.XLOOKUP(D343, productos!$A$2:$A$150, productos!$D$2:$D$150, "No Encontrado", 0)</f>
        <v>8.5399999999999991</v>
      </c>
      <c r="I343">
        <f t="shared" si="5"/>
        <v>25.619999999999997</v>
      </c>
    </row>
    <row r="344" spans="1:9" x14ac:dyDescent="0.25">
      <c r="A344">
        <v>679</v>
      </c>
      <c r="B344" s="1">
        <v>45520</v>
      </c>
      <c r="C344">
        <v>137</v>
      </c>
      <c r="D344">
        <v>10</v>
      </c>
      <c r="E344">
        <v>2</v>
      </c>
      <c r="F344">
        <v>2</v>
      </c>
      <c r="G344" t="s">
        <v>1045</v>
      </c>
      <c r="H344">
        <f>_xlfn.XLOOKUP(D344, productos!$A$2:$A$150, productos!$D$2:$D$150, "No Encontrado", 0)</f>
        <v>14.25</v>
      </c>
      <c r="I344">
        <f t="shared" si="5"/>
        <v>28.5</v>
      </c>
    </row>
    <row r="345" spans="1:9" x14ac:dyDescent="0.25">
      <c r="A345">
        <v>676</v>
      </c>
      <c r="B345" s="1">
        <v>45521</v>
      </c>
      <c r="C345">
        <v>291</v>
      </c>
      <c r="D345">
        <v>38</v>
      </c>
      <c r="E345">
        <v>6</v>
      </c>
      <c r="F345">
        <v>1</v>
      </c>
      <c r="G345" t="s">
        <v>1044</v>
      </c>
      <c r="H345">
        <f>_xlfn.XLOOKUP(D345, productos!$A$2:$A$150, productos!$D$2:$D$150, "No Encontrado", 0)</f>
        <v>6.21</v>
      </c>
      <c r="I345">
        <f t="shared" si="5"/>
        <v>37.26</v>
      </c>
    </row>
    <row r="346" spans="1:9" x14ac:dyDescent="0.25">
      <c r="A346">
        <v>673</v>
      </c>
      <c r="B346" s="1">
        <v>45522</v>
      </c>
      <c r="C346">
        <v>257</v>
      </c>
      <c r="D346">
        <v>12</v>
      </c>
      <c r="E346">
        <v>3</v>
      </c>
      <c r="F346">
        <v>4</v>
      </c>
      <c r="G346" t="s">
        <v>1044</v>
      </c>
      <c r="H346">
        <f>_xlfn.XLOOKUP(D346, productos!$A$2:$A$150, productos!$D$2:$D$150, "No Encontrado", 0)</f>
        <v>8.1199999999999992</v>
      </c>
      <c r="I346">
        <f t="shared" si="5"/>
        <v>24.36</v>
      </c>
    </row>
    <row r="347" spans="1:9" x14ac:dyDescent="0.25">
      <c r="A347">
        <v>670</v>
      </c>
      <c r="B347" s="1">
        <v>45533</v>
      </c>
      <c r="C347">
        <v>80</v>
      </c>
      <c r="D347">
        <v>7</v>
      </c>
      <c r="E347">
        <v>3</v>
      </c>
      <c r="F347">
        <v>2</v>
      </c>
      <c r="G347" t="s">
        <v>1044</v>
      </c>
      <c r="H347">
        <f>_xlfn.XLOOKUP(D347, productos!$A$2:$A$150, productos!$D$2:$D$150, "No Encontrado", 0)</f>
        <v>11.25</v>
      </c>
      <c r="I347">
        <f t="shared" si="5"/>
        <v>33.75</v>
      </c>
    </row>
    <row r="348" spans="1:9" x14ac:dyDescent="0.25">
      <c r="A348">
        <v>678</v>
      </c>
      <c r="B348" s="1">
        <v>45583</v>
      </c>
      <c r="C348">
        <v>47</v>
      </c>
      <c r="D348">
        <v>27</v>
      </c>
      <c r="E348">
        <v>1</v>
      </c>
      <c r="F348">
        <v>4</v>
      </c>
      <c r="G348" t="s">
        <v>1044</v>
      </c>
      <c r="H348">
        <f>_xlfn.XLOOKUP(D348, productos!$A$2:$A$150, productos!$D$2:$D$150, "No Encontrado", 0)</f>
        <v>6.21</v>
      </c>
      <c r="I348">
        <f t="shared" si="5"/>
        <v>6.21</v>
      </c>
    </row>
    <row r="349" spans="1:9" x14ac:dyDescent="0.25">
      <c r="A349">
        <v>675</v>
      </c>
      <c r="B349" s="1">
        <v>45585</v>
      </c>
      <c r="C349">
        <v>168</v>
      </c>
      <c r="D349">
        <v>26</v>
      </c>
      <c r="E349">
        <v>4</v>
      </c>
      <c r="F349">
        <v>5</v>
      </c>
      <c r="G349" t="s">
        <v>1044</v>
      </c>
      <c r="H349">
        <f>_xlfn.XLOOKUP(D349, productos!$A$2:$A$150, productos!$D$2:$D$150, "No Encontrado", 0)</f>
        <v>9.5399999999999991</v>
      </c>
      <c r="I349">
        <f t="shared" si="5"/>
        <v>38.159999999999997</v>
      </c>
    </row>
    <row r="350" spans="1:9" x14ac:dyDescent="0.25">
      <c r="A350">
        <v>668</v>
      </c>
      <c r="B350" s="1">
        <v>45594</v>
      </c>
      <c r="C350">
        <v>160</v>
      </c>
      <c r="D350">
        <v>9</v>
      </c>
      <c r="E350">
        <v>3</v>
      </c>
      <c r="F350">
        <v>5</v>
      </c>
      <c r="G350" t="s">
        <v>1044</v>
      </c>
      <c r="H350">
        <f>_xlfn.XLOOKUP(D350, productos!$A$2:$A$150, productos!$D$2:$D$150, "No Encontrado", 0)</f>
        <v>18.559999999999999</v>
      </c>
      <c r="I350">
        <f t="shared" si="5"/>
        <v>55.679999999999993</v>
      </c>
    </row>
    <row r="351" spans="1:9" x14ac:dyDescent="0.25">
      <c r="A351">
        <v>674</v>
      </c>
      <c r="B351" s="1">
        <v>45597</v>
      </c>
      <c r="C351">
        <v>157</v>
      </c>
      <c r="D351">
        <v>31</v>
      </c>
      <c r="E351">
        <v>2</v>
      </c>
      <c r="F351">
        <v>3</v>
      </c>
      <c r="G351" t="s">
        <v>1044</v>
      </c>
      <c r="H351">
        <f>_xlfn.XLOOKUP(D351, productos!$A$2:$A$150, productos!$D$2:$D$150, "No Encontrado", 0)</f>
        <v>5.24</v>
      </c>
      <c r="I351">
        <f t="shared" si="5"/>
        <v>10.48</v>
      </c>
    </row>
    <row r="352" spans="1:9" x14ac:dyDescent="0.25">
      <c r="A352">
        <v>687</v>
      </c>
      <c r="B352" s="1">
        <v>45605</v>
      </c>
      <c r="C352">
        <v>43</v>
      </c>
      <c r="D352">
        <v>30</v>
      </c>
      <c r="E352">
        <v>2</v>
      </c>
      <c r="F352">
        <v>1</v>
      </c>
      <c r="G352" t="s">
        <v>1044</v>
      </c>
      <c r="H352">
        <f>_xlfn.XLOOKUP(D352, productos!$A$2:$A$150, productos!$D$2:$D$150, "No Encontrado", 0)</f>
        <v>13.54</v>
      </c>
      <c r="I352">
        <f t="shared" si="5"/>
        <v>27.08</v>
      </c>
    </row>
    <row r="353" spans="1:9" x14ac:dyDescent="0.25">
      <c r="A353">
        <v>672</v>
      </c>
      <c r="B353" s="1">
        <v>45608</v>
      </c>
      <c r="C353">
        <v>63</v>
      </c>
      <c r="D353">
        <v>38</v>
      </c>
      <c r="E353">
        <v>2</v>
      </c>
      <c r="F353">
        <v>5</v>
      </c>
      <c r="G353" t="s">
        <v>1045</v>
      </c>
      <c r="H353">
        <f>_xlfn.XLOOKUP(D353, productos!$A$2:$A$150, productos!$D$2:$D$150, "No Encontrado", 0)</f>
        <v>6.21</v>
      </c>
      <c r="I353">
        <f t="shared" si="5"/>
        <v>12.42</v>
      </c>
    </row>
    <row r="354" spans="1:9" x14ac:dyDescent="0.25">
      <c r="A354">
        <v>690</v>
      </c>
      <c r="B354" s="1">
        <v>45617</v>
      </c>
      <c r="C354">
        <v>166</v>
      </c>
      <c r="D354">
        <v>12</v>
      </c>
      <c r="E354">
        <v>4</v>
      </c>
      <c r="F354">
        <v>3</v>
      </c>
      <c r="G354" t="s">
        <v>1044</v>
      </c>
      <c r="H354">
        <f>_xlfn.XLOOKUP(D354, productos!$A$2:$A$150, productos!$D$2:$D$150, "No Encontrado", 0)</f>
        <v>8.1199999999999992</v>
      </c>
      <c r="I354">
        <f t="shared" si="5"/>
        <v>32.479999999999997</v>
      </c>
    </row>
    <row r="355" spans="1:9" x14ac:dyDescent="0.25">
      <c r="A355">
        <v>693</v>
      </c>
      <c r="B355" s="1">
        <v>45629</v>
      </c>
      <c r="C355">
        <v>15</v>
      </c>
      <c r="D355">
        <v>7</v>
      </c>
      <c r="E355">
        <v>4</v>
      </c>
      <c r="F355">
        <v>5</v>
      </c>
      <c r="G355" t="s">
        <v>1044</v>
      </c>
      <c r="H355">
        <f>_xlfn.XLOOKUP(D355, productos!$A$2:$A$150, productos!$D$2:$D$150, "No Encontrado", 0)</f>
        <v>11.25</v>
      </c>
      <c r="I355">
        <f t="shared" si="5"/>
        <v>45</v>
      </c>
    </row>
    <row r="356" spans="1:9" x14ac:dyDescent="0.25">
      <c r="A356">
        <v>695</v>
      </c>
      <c r="B356" s="1">
        <v>45639</v>
      </c>
      <c r="C356">
        <v>202</v>
      </c>
      <c r="D356">
        <v>9</v>
      </c>
      <c r="E356">
        <v>3</v>
      </c>
      <c r="F356">
        <v>1</v>
      </c>
      <c r="G356" t="s">
        <v>1044</v>
      </c>
      <c r="H356">
        <f>_xlfn.XLOOKUP(D356, productos!$A$2:$A$150, productos!$D$2:$D$150, "No Encontrado", 0)</f>
        <v>18.559999999999999</v>
      </c>
      <c r="I356">
        <f t="shared" si="5"/>
        <v>55.679999999999993</v>
      </c>
    </row>
    <row r="357" spans="1:9" x14ac:dyDescent="0.25">
      <c r="A357">
        <v>919</v>
      </c>
      <c r="B357" s="1">
        <v>45322</v>
      </c>
      <c r="C357">
        <v>10</v>
      </c>
      <c r="D357">
        <v>25</v>
      </c>
      <c r="E357">
        <v>5</v>
      </c>
      <c r="F357">
        <v>1</v>
      </c>
      <c r="G357" t="s">
        <v>1044</v>
      </c>
      <c r="H357">
        <f>_xlfn.XLOOKUP(D357, productos!$A$2:$A$150, productos!$D$2:$D$150, "No Encontrado", 0)</f>
        <v>15.45</v>
      </c>
      <c r="I357">
        <f t="shared" si="5"/>
        <v>77.25</v>
      </c>
    </row>
    <row r="358" spans="1:9" x14ac:dyDescent="0.25">
      <c r="A358">
        <v>947</v>
      </c>
      <c r="B358" s="1">
        <v>45322</v>
      </c>
      <c r="C358">
        <v>106</v>
      </c>
      <c r="D358">
        <v>5</v>
      </c>
      <c r="E358">
        <v>1</v>
      </c>
      <c r="F358">
        <v>4</v>
      </c>
      <c r="G358" t="s">
        <v>1044</v>
      </c>
      <c r="H358">
        <f>_xlfn.XLOOKUP(D358, productos!$A$2:$A$150, productos!$D$2:$D$150, "No Encontrado", 0)</f>
        <v>5.65</v>
      </c>
      <c r="I358">
        <f t="shared" si="5"/>
        <v>5.65</v>
      </c>
    </row>
    <row r="359" spans="1:9" x14ac:dyDescent="0.25">
      <c r="A359">
        <v>1317</v>
      </c>
      <c r="B359" s="1">
        <v>45322</v>
      </c>
      <c r="C359">
        <v>235</v>
      </c>
      <c r="D359">
        <v>25</v>
      </c>
      <c r="E359">
        <v>3</v>
      </c>
      <c r="F359">
        <v>3</v>
      </c>
      <c r="G359" t="s">
        <v>1044</v>
      </c>
      <c r="H359">
        <f>_xlfn.XLOOKUP(D359, productos!$A$2:$A$150, productos!$D$2:$D$150, "No Encontrado", 0)</f>
        <v>15.45</v>
      </c>
      <c r="I359">
        <f t="shared" si="5"/>
        <v>46.349999999999994</v>
      </c>
    </row>
    <row r="360" spans="1:9" x14ac:dyDescent="0.25">
      <c r="A360">
        <v>1607</v>
      </c>
      <c r="B360" s="1">
        <v>45322</v>
      </c>
      <c r="C360">
        <v>114</v>
      </c>
      <c r="D360">
        <v>15</v>
      </c>
      <c r="E360">
        <v>5</v>
      </c>
      <c r="F360">
        <v>1</v>
      </c>
      <c r="G360" t="s">
        <v>1044</v>
      </c>
      <c r="H360">
        <f>_xlfn.XLOOKUP(D360, productos!$A$2:$A$150, productos!$D$2:$D$150, "No Encontrado", 0)</f>
        <v>3.51</v>
      </c>
      <c r="I360">
        <f t="shared" si="5"/>
        <v>17.549999999999997</v>
      </c>
    </row>
    <row r="361" spans="1:9" x14ac:dyDescent="0.25">
      <c r="A361">
        <v>2038</v>
      </c>
      <c r="B361" s="1">
        <v>45322</v>
      </c>
      <c r="C361">
        <v>132</v>
      </c>
      <c r="D361">
        <v>2</v>
      </c>
      <c r="E361">
        <v>5</v>
      </c>
      <c r="F361">
        <v>4</v>
      </c>
      <c r="G361" t="s">
        <v>1044</v>
      </c>
      <c r="H361">
        <f>_xlfn.XLOOKUP(D361, productos!$A$2:$A$150, productos!$D$2:$D$150, "No Encontrado", 0)</f>
        <v>5.21</v>
      </c>
      <c r="I361">
        <f t="shared" si="5"/>
        <v>26.05</v>
      </c>
    </row>
    <row r="362" spans="1:9" x14ac:dyDescent="0.25">
      <c r="A362">
        <v>2436</v>
      </c>
      <c r="B362" s="1">
        <v>45322</v>
      </c>
      <c r="C362">
        <v>282</v>
      </c>
      <c r="D362">
        <v>3</v>
      </c>
      <c r="E362">
        <v>3</v>
      </c>
      <c r="F362">
        <v>1</v>
      </c>
      <c r="G362" t="s">
        <v>1044</v>
      </c>
      <c r="H362">
        <f>_xlfn.XLOOKUP(D362, productos!$A$2:$A$150, productos!$D$2:$D$150, "No Encontrado", 0)</f>
        <v>17.23</v>
      </c>
      <c r="I362">
        <f t="shared" si="5"/>
        <v>51.69</v>
      </c>
    </row>
    <row r="363" spans="1:9" x14ac:dyDescent="0.25">
      <c r="A363">
        <v>2578</v>
      </c>
      <c r="B363" s="1">
        <v>45322</v>
      </c>
      <c r="C363">
        <v>201</v>
      </c>
      <c r="D363">
        <v>31</v>
      </c>
      <c r="E363">
        <v>6</v>
      </c>
      <c r="F363">
        <v>3</v>
      </c>
      <c r="G363" t="s">
        <v>1044</v>
      </c>
      <c r="H363">
        <f>_xlfn.XLOOKUP(D363, productos!$A$2:$A$150, productos!$D$2:$D$150, "No Encontrado", 0)</f>
        <v>5.24</v>
      </c>
      <c r="I363">
        <f t="shared" si="5"/>
        <v>31.44</v>
      </c>
    </row>
    <row r="364" spans="1:9" x14ac:dyDescent="0.25">
      <c r="A364">
        <v>448</v>
      </c>
      <c r="B364" s="1">
        <v>45323</v>
      </c>
      <c r="C364">
        <v>5</v>
      </c>
      <c r="D364">
        <v>19</v>
      </c>
      <c r="E364">
        <v>3</v>
      </c>
      <c r="F364">
        <v>4</v>
      </c>
      <c r="G364" t="s">
        <v>1045</v>
      </c>
      <c r="H364">
        <f>_xlfn.XLOOKUP(D364, productos!$A$2:$A$150, productos!$D$2:$D$150, "No Encontrado", 0)</f>
        <v>6.54</v>
      </c>
      <c r="I364">
        <f t="shared" si="5"/>
        <v>19.62</v>
      </c>
    </row>
    <row r="365" spans="1:9" x14ac:dyDescent="0.25">
      <c r="A365">
        <v>492</v>
      </c>
      <c r="B365" s="1">
        <v>45323</v>
      </c>
      <c r="C365">
        <v>114</v>
      </c>
      <c r="D365">
        <v>29</v>
      </c>
      <c r="E365">
        <v>6</v>
      </c>
      <c r="F365">
        <v>4</v>
      </c>
      <c r="G365" t="s">
        <v>1044</v>
      </c>
      <c r="H365">
        <f>_xlfn.XLOOKUP(D365, productos!$A$2:$A$150, productos!$D$2:$D$150, "No Encontrado", 0)</f>
        <v>11.54</v>
      </c>
      <c r="I365">
        <f t="shared" si="5"/>
        <v>69.239999999999995</v>
      </c>
    </row>
    <row r="366" spans="1:9" x14ac:dyDescent="0.25">
      <c r="A366">
        <v>1099</v>
      </c>
      <c r="B366" s="1">
        <v>45323</v>
      </c>
      <c r="C366">
        <v>282</v>
      </c>
      <c r="D366">
        <v>28</v>
      </c>
      <c r="E366">
        <v>1</v>
      </c>
      <c r="F366">
        <v>4</v>
      </c>
      <c r="G366" t="s">
        <v>1044</v>
      </c>
      <c r="H366">
        <f>_xlfn.XLOOKUP(D366, productos!$A$2:$A$150, productos!$D$2:$D$150, "No Encontrado", 0)</f>
        <v>9.4499999999999993</v>
      </c>
      <c r="I366">
        <f t="shared" si="5"/>
        <v>9.4499999999999993</v>
      </c>
    </row>
    <row r="367" spans="1:9" x14ac:dyDescent="0.25">
      <c r="A367">
        <v>1439</v>
      </c>
      <c r="B367" s="1">
        <v>45323</v>
      </c>
      <c r="C367">
        <v>130</v>
      </c>
      <c r="D367">
        <v>18</v>
      </c>
      <c r="E367">
        <v>2</v>
      </c>
      <c r="F367">
        <v>2</v>
      </c>
      <c r="G367" t="s">
        <v>1044</v>
      </c>
      <c r="H367">
        <f>_xlfn.XLOOKUP(D367, productos!$A$2:$A$150, productos!$D$2:$D$150, "No Encontrado", 0)</f>
        <v>7.25</v>
      </c>
      <c r="I367">
        <f t="shared" si="5"/>
        <v>14.5</v>
      </c>
    </row>
    <row r="368" spans="1:9" x14ac:dyDescent="0.25">
      <c r="A368">
        <v>1565</v>
      </c>
      <c r="B368" s="1">
        <v>45323</v>
      </c>
      <c r="C368">
        <v>97</v>
      </c>
      <c r="D368">
        <v>6</v>
      </c>
      <c r="E368">
        <v>6</v>
      </c>
      <c r="F368">
        <v>2</v>
      </c>
      <c r="G368" t="s">
        <v>1044</v>
      </c>
      <c r="H368">
        <f>_xlfn.XLOOKUP(D368, productos!$A$2:$A$150, productos!$D$2:$D$150, "No Encontrado", 0)</f>
        <v>28.56</v>
      </c>
      <c r="I368">
        <f t="shared" si="5"/>
        <v>171.35999999999999</v>
      </c>
    </row>
    <row r="369" spans="1:9" x14ac:dyDescent="0.25">
      <c r="A369">
        <v>1776</v>
      </c>
      <c r="B369" s="1">
        <v>45323</v>
      </c>
      <c r="C369">
        <v>247</v>
      </c>
      <c r="D369">
        <v>7</v>
      </c>
      <c r="E369">
        <v>4</v>
      </c>
      <c r="F369">
        <v>4</v>
      </c>
      <c r="G369" t="s">
        <v>1044</v>
      </c>
      <c r="H369">
        <f>_xlfn.XLOOKUP(D369, productos!$A$2:$A$150, productos!$D$2:$D$150, "No Encontrado", 0)</f>
        <v>11.25</v>
      </c>
      <c r="I369">
        <f t="shared" si="5"/>
        <v>45</v>
      </c>
    </row>
    <row r="370" spans="1:9" x14ac:dyDescent="0.25">
      <c r="A370">
        <v>2190</v>
      </c>
      <c r="B370" s="1">
        <v>45323</v>
      </c>
      <c r="C370">
        <v>98</v>
      </c>
      <c r="D370">
        <v>16</v>
      </c>
      <c r="E370">
        <v>1</v>
      </c>
      <c r="F370">
        <v>1</v>
      </c>
      <c r="G370" t="s">
        <v>1045</v>
      </c>
      <c r="H370">
        <f>_xlfn.XLOOKUP(D370, productos!$A$2:$A$150, productos!$D$2:$D$150, "No Encontrado", 0)</f>
        <v>15.23</v>
      </c>
      <c r="I370">
        <f t="shared" si="5"/>
        <v>15.23</v>
      </c>
    </row>
    <row r="371" spans="1:9" x14ac:dyDescent="0.25">
      <c r="A371">
        <v>2755</v>
      </c>
      <c r="B371" s="1">
        <v>45323</v>
      </c>
      <c r="C371">
        <v>27</v>
      </c>
      <c r="D371">
        <v>18</v>
      </c>
      <c r="E371">
        <v>4</v>
      </c>
      <c r="F371">
        <v>4</v>
      </c>
      <c r="G371" t="s">
        <v>1044</v>
      </c>
      <c r="H371">
        <f>_xlfn.XLOOKUP(D371, productos!$A$2:$A$150, productos!$D$2:$D$150, "No Encontrado", 0)</f>
        <v>7.25</v>
      </c>
      <c r="I371">
        <f t="shared" si="5"/>
        <v>29</v>
      </c>
    </row>
    <row r="372" spans="1:9" x14ac:dyDescent="0.25">
      <c r="A372">
        <v>349</v>
      </c>
      <c r="B372" s="1">
        <v>45324</v>
      </c>
      <c r="C372">
        <v>203</v>
      </c>
      <c r="D372">
        <v>2</v>
      </c>
      <c r="E372">
        <v>3</v>
      </c>
      <c r="F372">
        <v>4</v>
      </c>
      <c r="G372" t="s">
        <v>1044</v>
      </c>
      <c r="H372">
        <f>_xlfn.XLOOKUP(D372, productos!$A$2:$A$150, productos!$D$2:$D$150, "No Encontrado", 0)</f>
        <v>5.21</v>
      </c>
      <c r="I372">
        <f t="shared" si="5"/>
        <v>15.629999999999999</v>
      </c>
    </row>
    <row r="373" spans="1:9" x14ac:dyDescent="0.25">
      <c r="A373">
        <v>351</v>
      </c>
      <c r="B373" s="1">
        <v>45324</v>
      </c>
      <c r="C373">
        <v>45</v>
      </c>
      <c r="D373">
        <v>8</v>
      </c>
      <c r="E373">
        <v>4</v>
      </c>
      <c r="F373">
        <v>3</v>
      </c>
      <c r="G373" t="s">
        <v>1044</v>
      </c>
      <c r="H373">
        <f>_xlfn.XLOOKUP(D373, productos!$A$2:$A$150, productos!$D$2:$D$150, "No Encontrado", 0)</f>
        <v>16.21</v>
      </c>
      <c r="I373">
        <f t="shared" si="5"/>
        <v>64.84</v>
      </c>
    </row>
    <row r="374" spans="1:9" x14ac:dyDescent="0.25">
      <c r="A374">
        <v>822</v>
      </c>
      <c r="B374" s="1">
        <v>45324</v>
      </c>
      <c r="C374">
        <v>1</v>
      </c>
      <c r="D374">
        <v>32</v>
      </c>
      <c r="E374">
        <v>4</v>
      </c>
      <c r="F374">
        <v>5</v>
      </c>
      <c r="G374" t="s">
        <v>1044</v>
      </c>
      <c r="H374">
        <f>_xlfn.XLOOKUP(D374, productos!$A$2:$A$150, productos!$D$2:$D$150, "No Encontrado", 0)</f>
        <v>6.25</v>
      </c>
      <c r="I374">
        <f t="shared" si="5"/>
        <v>25</v>
      </c>
    </row>
    <row r="375" spans="1:9" x14ac:dyDescent="0.25">
      <c r="A375">
        <v>1078</v>
      </c>
      <c r="B375" s="1">
        <v>45324</v>
      </c>
      <c r="C375">
        <v>218</v>
      </c>
      <c r="D375">
        <v>6</v>
      </c>
      <c r="E375">
        <v>5</v>
      </c>
      <c r="F375">
        <v>5</v>
      </c>
      <c r="G375" t="s">
        <v>1044</v>
      </c>
      <c r="H375">
        <f>_xlfn.XLOOKUP(D375, productos!$A$2:$A$150, productos!$D$2:$D$150, "No Encontrado", 0)</f>
        <v>28.56</v>
      </c>
      <c r="I375">
        <f t="shared" si="5"/>
        <v>142.79999999999998</v>
      </c>
    </row>
    <row r="376" spans="1:9" x14ac:dyDescent="0.25">
      <c r="A376">
        <v>1595</v>
      </c>
      <c r="B376" s="1">
        <v>45324</v>
      </c>
      <c r="C376">
        <v>129</v>
      </c>
      <c r="D376">
        <v>31</v>
      </c>
      <c r="E376">
        <v>6</v>
      </c>
      <c r="F376">
        <v>1</v>
      </c>
      <c r="G376" t="s">
        <v>1044</v>
      </c>
      <c r="H376">
        <f>_xlfn.XLOOKUP(D376, productos!$A$2:$A$150, productos!$D$2:$D$150, "No Encontrado", 0)</f>
        <v>5.24</v>
      </c>
      <c r="I376">
        <f t="shared" si="5"/>
        <v>31.44</v>
      </c>
    </row>
    <row r="377" spans="1:9" x14ac:dyDescent="0.25">
      <c r="A377">
        <v>2746</v>
      </c>
      <c r="B377" s="1">
        <v>45324</v>
      </c>
      <c r="C377">
        <v>217</v>
      </c>
      <c r="D377">
        <v>4</v>
      </c>
      <c r="E377">
        <v>1</v>
      </c>
      <c r="F377">
        <v>4</v>
      </c>
      <c r="G377" t="s">
        <v>1044</v>
      </c>
      <c r="H377">
        <f>_xlfn.XLOOKUP(D377, productos!$A$2:$A$150, productos!$D$2:$D$150, "No Encontrado", 0)</f>
        <v>19.23</v>
      </c>
      <c r="I377">
        <f t="shared" si="5"/>
        <v>19.23</v>
      </c>
    </row>
    <row r="378" spans="1:9" x14ac:dyDescent="0.25">
      <c r="A378">
        <v>997</v>
      </c>
      <c r="B378" s="1">
        <v>45325</v>
      </c>
      <c r="C378">
        <v>245</v>
      </c>
      <c r="D378">
        <v>12</v>
      </c>
      <c r="E378">
        <v>3</v>
      </c>
      <c r="F378">
        <v>5</v>
      </c>
      <c r="G378" t="s">
        <v>1044</v>
      </c>
      <c r="H378">
        <f>_xlfn.XLOOKUP(D378, productos!$A$2:$A$150, productos!$D$2:$D$150, "No Encontrado", 0)</f>
        <v>8.1199999999999992</v>
      </c>
      <c r="I378">
        <f t="shared" si="5"/>
        <v>24.36</v>
      </c>
    </row>
    <row r="379" spans="1:9" x14ac:dyDescent="0.25">
      <c r="A379">
        <v>1221</v>
      </c>
      <c r="B379" s="1">
        <v>45325</v>
      </c>
      <c r="C379">
        <v>251</v>
      </c>
      <c r="D379">
        <v>10</v>
      </c>
      <c r="E379">
        <v>5</v>
      </c>
      <c r="F379">
        <v>5</v>
      </c>
      <c r="G379" t="s">
        <v>1045</v>
      </c>
      <c r="H379">
        <f>_xlfn.XLOOKUP(D379, productos!$A$2:$A$150, productos!$D$2:$D$150, "No Encontrado", 0)</f>
        <v>14.25</v>
      </c>
      <c r="I379">
        <f t="shared" si="5"/>
        <v>71.25</v>
      </c>
    </row>
    <row r="380" spans="1:9" x14ac:dyDescent="0.25">
      <c r="A380">
        <v>1931</v>
      </c>
      <c r="B380" s="1">
        <v>45325</v>
      </c>
      <c r="C380">
        <v>204</v>
      </c>
      <c r="D380">
        <v>6</v>
      </c>
      <c r="E380">
        <v>4</v>
      </c>
      <c r="F380">
        <v>5</v>
      </c>
      <c r="G380" t="s">
        <v>1044</v>
      </c>
      <c r="H380">
        <f>_xlfn.XLOOKUP(D380, productos!$A$2:$A$150, productos!$D$2:$D$150, "No Encontrado", 0)</f>
        <v>28.56</v>
      </c>
      <c r="I380">
        <f t="shared" si="5"/>
        <v>114.24</v>
      </c>
    </row>
    <row r="381" spans="1:9" x14ac:dyDescent="0.25">
      <c r="A381">
        <v>1967</v>
      </c>
      <c r="B381" s="1">
        <v>45325</v>
      </c>
      <c r="C381">
        <v>32</v>
      </c>
      <c r="D381">
        <v>7</v>
      </c>
      <c r="E381">
        <v>5</v>
      </c>
      <c r="F381">
        <v>4</v>
      </c>
      <c r="G381" t="s">
        <v>1044</v>
      </c>
      <c r="H381">
        <f>_xlfn.XLOOKUP(D381, productos!$A$2:$A$150, productos!$D$2:$D$150, "No Encontrado", 0)</f>
        <v>11.25</v>
      </c>
      <c r="I381">
        <f t="shared" si="5"/>
        <v>56.25</v>
      </c>
    </row>
    <row r="382" spans="1:9" x14ac:dyDescent="0.25">
      <c r="A382">
        <v>2328</v>
      </c>
      <c r="B382" s="1">
        <v>45325</v>
      </c>
      <c r="C382">
        <v>275</v>
      </c>
      <c r="D382">
        <v>23</v>
      </c>
      <c r="E382">
        <v>1</v>
      </c>
      <c r="F382">
        <v>2</v>
      </c>
      <c r="G382" t="s">
        <v>1044</v>
      </c>
      <c r="H382">
        <f>_xlfn.XLOOKUP(D382, productos!$A$2:$A$150, productos!$D$2:$D$150, "No Encontrado", 0)</f>
        <v>8.23</v>
      </c>
      <c r="I382">
        <f t="shared" si="5"/>
        <v>8.23</v>
      </c>
    </row>
    <row r="383" spans="1:9" x14ac:dyDescent="0.25">
      <c r="A383">
        <v>420</v>
      </c>
      <c r="B383" s="1">
        <v>45326</v>
      </c>
      <c r="C383">
        <v>259</v>
      </c>
      <c r="D383">
        <v>32</v>
      </c>
      <c r="E383">
        <v>1</v>
      </c>
      <c r="F383">
        <v>2</v>
      </c>
      <c r="G383" t="s">
        <v>1045</v>
      </c>
      <c r="H383">
        <f>_xlfn.XLOOKUP(D383, productos!$A$2:$A$150, productos!$D$2:$D$150, "No Encontrado", 0)</f>
        <v>6.25</v>
      </c>
      <c r="I383">
        <f t="shared" si="5"/>
        <v>6.25</v>
      </c>
    </row>
    <row r="384" spans="1:9" x14ac:dyDescent="0.25">
      <c r="A384">
        <v>546</v>
      </c>
      <c r="B384" s="1">
        <v>45326</v>
      </c>
      <c r="C384">
        <v>66</v>
      </c>
      <c r="D384">
        <v>19</v>
      </c>
      <c r="E384">
        <v>3</v>
      </c>
      <c r="F384">
        <v>4</v>
      </c>
      <c r="G384" t="s">
        <v>1044</v>
      </c>
      <c r="H384">
        <f>_xlfn.XLOOKUP(D384, productos!$A$2:$A$150, productos!$D$2:$D$150, "No Encontrado", 0)</f>
        <v>6.54</v>
      </c>
      <c r="I384">
        <f t="shared" si="5"/>
        <v>19.62</v>
      </c>
    </row>
    <row r="385" spans="1:9" x14ac:dyDescent="0.25">
      <c r="A385">
        <v>2263</v>
      </c>
      <c r="B385" s="1">
        <v>45326</v>
      </c>
      <c r="C385">
        <v>48</v>
      </c>
      <c r="D385">
        <v>27</v>
      </c>
      <c r="E385">
        <v>1</v>
      </c>
      <c r="F385">
        <v>5</v>
      </c>
      <c r="G385" t="s">
        <v>1044</v>
      </c>
      <c r="H385">
        <f>_xlfn.XLOOKUP(D385, productos!$A$2:$A$150, productos!$D$2:$D$150, "No Encontrado", 0)</f>
        <v>6.21</v>
      </c>
      <c r="I385">
        <f t="shared" si="5"/>
        <v>6.21</v>
      </c>
    </row>
    <row r="386" spans="1:9" x14ac:dyDescent="0.25">
      <c r="A386">
        <v>2752</v>
      </c>
      <c r="B386" s="1">
        <v>45326</v>
      </c>
      <c r="C386">
        <v>125</v>
      </c>
      <c r="D386">
        <v>35</v>
      </c>
      <c r="E386">
        <v>3</v>
      </c>
      <c r="F386">
        <v>4</v>
      </c>
      <c r="G386" t="s">
        <v>1044</v>
      </c>
      <c r="H386">
        <f>_xlfn.XLOOKUP(D386, productos!$A$2:$A$150, productos!$D$2:$D$150, "No Encontrado", 0)</f>
        <v>4.25</v>
      </c>
      <c r="I386">
        <f t="shared" si="5"/>
        <v>12.75</v>
      </c>
    </row>
    <row r="387" spans="1:9" x14ac:dyDescent="0.25">
      <c r="A387">
        <v>2889</v>
      </c>
      <c r="B387" s="1">
        <v>45326</v>
      </c>
      <c r="C387">
        <v>48</v>
      </c>
      <c r="D387">
        <v>24</v>
      </c>
      <c r="E387">
        <v>2</v>
      </c>
      <c r="F387">
        <v>3</v>
      </c>
      <c r="G387" t="s">
        <v>1045</v>
      </c>
      <c r="H387">
        <f>_xlfn.XLOOKUP(D387, productos!$A$2:$A$150, productos!$D$2:$D$150, "No Encontrado", 0)</f>
        <v>13.54</v>
      </c>
      <c r="I387">
        <f t="shared" ref="I387:I450" si="6">E387*H387</f>
        <v>27.08</v>
      </c>
    </row>
    <row r="388" spans="1:9" x14ac:dyDescent="0.25">
      <c r="A388">
        <v>2896</v>
      </c>
      <c r="B388" s="1">
        <v>45326</v>
      </c>
      <c r="C388">
        <v>106</v>
      </c>
      <c r="D388">
        <v>21</v>
      </c>
      <c r="E388">
        <v>1</v>
      </c>
      <c r="F388">
        <v>2</v>
      </c>
      <c r="G388" t="s">
        <v>1044</v>
      </c>
      <c r="H388">
        <f>_xlfn.XLOOKUP(D388, productos!$A$2:$A$150, productos!$D$2:$D$150, "No Encontrado", 0)</f>
        <v>3.25</v>
      </c>
      <c r="I388">
        <f t="shared" si="6"/>
        <v>3.25</v>
      </c>
    </row>
    <row r="389" spans="1:9" x14ac:dyDescent="0.25">
      <c r="A389">
        <v>497</v>
      </c>
      <c r="B389" s="1">
        <v>45327</v>
      </c>
      <c r="C389">
        <v>169</v>
      </c>
      <c r="D389">
        <v>5</v>
      </c>
      <c r="E389">
        <v>6</v>
      </c>
      <c r="F389">
        <v>3</v>
      </c>
      <c r="G389" t="s">
        <v>1044</v>
      </c>
      <c r="H389">
        <f>_xlfn.XLOOKUP(D389, productos!$A$2:$A$150, productos!$D$2:$D$150, "No Encontrado", 0)</f>
        <v>5.65</v>
      </c>
      <c r="I389">
        <f t="shared" si="6"/>
        <v>33.900000000000006</v>
      </c>
    </row>
    <row r="390" spans="1:9" x14ac:dyDescent="0.25">
      <c r="A390">
        <v>503</v>
      </c>
      <c r="B390" s="1">
        <v>45327</v>
      </c>
      <c r="C390">
        <v>169</v>
      </c>
      <c r="D390">
        <v>5</v>
      </c>
      <c r="E390">
        <v>5</v>
      </c>
      <c r="F390">
        <v>1</v>
      </c>
      <c r="G390" t="s">
        <v>1044</v>
      </c>
      <c r="H390">
        <f>_xlfn.XLOOKUP(D390, productos!$A$2:$A$150, productos!$D$2:$D$150, "No Encontrado", 0)</f>
        <v>5.65</v>
      </c>
      <c r="I390">
        <f t="shared" si="6"/>
        <v>28.25</v>
      </c>
    </row>
    <row r="391" spans="1:9" x14ac:dyDescent="0.25">
      <c r="A391">
        <v>1198</v>
      </c>
      <c r="B391" s="1">
        <v>45327</v>
      </c>
      <c r="C391">
        <v>102</v>
      </c>
      <c r="D391">
        <v>13</v>
      </c>
      <c r="E391">
        <v>2</v>
      </c>
      <c r="F391">
        <v>1</v>
      </c>
      <c r="G391" t="s">
        <v>1044</v>
      </c>
      <c r="H391">
        <f>_xlfn.XLOOKUP(D391, productos!$A$2:$A$150, productos!$D$2:$D$150, "No Encontrado", 0)</f>
        <v>12.56</v>
      </c>
      <c r="I391">
        <f t="shared" si="6"/>
        <v>25.12</v>
      </c>
    </row>
    <row r="392" spans="1:9" x14ac:dyDescent="0.25">
      <c r="A392">
        <v>1449</v>
      </c>
      <c r="B392" s="1">
        <v>45327</v>
      </c>
      <c r="C392">
        <v>172</v>
      </c>
      <c r="D392">
        <v>29</v>
      </c>
      <c r="E392">
        <v>6</v>
      </c>
      <c r="F392">
        <v>2</v>
      </c>
      <c r="G392" t="s">
        <v>1044</v>
      </c>
      <c r="H392">
        <f>_xlfn.XLOOKUP(D392, productos!$A$2:$A$150, productos!$D$2:$D$150, "No Encontrado", 0)</f>
        <v>11.54</v>
      </c>
      <c r="I392">
        <f t="shared" si="6"/>
        <v>69.239999999999995</v>
      </c>
    </row>
    <row r="393" spans="1:9" x14ac:dyDescent="0.25">
      <c r="A393">
        <v>1759</v>
      </c>
      <c r="B393" s="1">
        <v>45327</v>
      </c>
      <c r="C393">
        <v>255</v>
      </c>
      <c r="D393">
        <v>23</v>
      </c>
      <c r="E393">
        <v>5</v>
      </c>
      <c r="F393">
        <v>5</v>
      </c>
      <c r="G393" t="s">
        <v>1045</v>
      </c>
      <c r="H393">
        <f>_xlfn.XLOOKUP(D393, productos!$A$2:$A$150, productos!$D$2:$D$150, "No Encontrado", 0)</f>
        <v>8.23</v>
      </c>
      <c r="I393">
        <f t="shared" si="6"/>
        <v>41.150000000000006</v>
      </c>
    </row>
    <row r="394" spans="1:9" x14ac:dyDescent="0.25">
      <c r="A394">
        <v>2873</v>
      </c>
      <c r="B394" s="1">
        <v>45327</v>
      </c>
      <c r="C394">
        <v>230</v>
      </c>
      <c r="D394">
        <v>13</v>
      </c>
      <c r="E394">
        <v>2</v>
      </c>
      <c r="F394">
        <v>2</v>
      </c>
      <c r="G394" t="s">
        <v>1044</v>
      </c>
      <c r="H394">
        <f>_xlfn.XLOOKUP(D394, productos!$A$2:$A$150, productos!$D$2:$D$150, "No Encontrado", 0)</f>
        <v>12.56</v>
      </c>
      <c r="I394">
        <f t="shared" si="6"/>
        <v>25.12</v>
      </c>
    </row>
    <row r="395" spans="1:9" x14ac:dyDescent="0.25">
      <c r="A395">
        <v>484</v>
      </c>
      <c r="B395" s="1">
        <v>45328</v>
      </c>
      <c r="C395">
        <v>168</v>
      </c>
      <c r="D395">
        <v>35</v>
      </c>
      <c r="E395">
        <v>1</v>
      </c>
      <c r="F395">
        <v>2</v>
      </c>
      <c r="G395" t="s">
        <v>1044</v>
      </c>
      <c r="H395">
        <f>_xlfn.XLOOKUP(D395, productos!$A$2:$A$150, productos!$D$2:$D$150, "No Encontrado", 0)</f>
        <v>4.25</v>
      </c>
      <c r="I395">
        <f t="shared" si="6"/>
        <v>4.25</v>
      </c>
    </row>
    <row r="396" spans="1:9" x14ac:dyDescent="0.25">
      <c r="A396">
        <v>593</v>
      </c>
      <c r="B396" s="1">
        <v>45328</v>
      </c>
      <c r="C396">
        <v>258</v>
      </c>
      <c r="D396">
        <v>11</v>
      </c>
      <c r="E396">
        <v>4</v>
      </c>
      <c r="F396">
        <v>5</v>
      </c>
      <c r="G396" t="s">
        <v>1044</v>
      </c>
      <c r="H396">
        <f>_xlfn.XLOOKUP(D396, productos!$A$2:$A$150, productos!$D$2:$D$150, "No Encontrado", 0)</f>
        <v>11.23</v>
      </c>
      <c r="I396">
        <f t="shared" si="6"/>
        <v>44.92</v>
      </c>
    </row>
    <row r="397" spans="1:9" x14ac:dyDescent="0.25">
      <c r="A397">
        <v>809</v>
      </c>
      <c r="B397" s="1">
        <v>45328</v>
      </c>
      <c r="C397">
        <v>159</v>
      </c>
      <c r="D397">
        <v>19</v>
      </c>
      <c r="E397">
        <v>6</v>
      </c>
      <c r="F397">
        <v>5</v>
      </c>
      <c r="G397" t="s">
        <v>1045</v>
      </c>
      <c r="H397">
        <f>_xlfn.XLOOKUP(D397, productos!$A$2:$A$150, productos!$D$2:$D$150, "No Encontrado", 0)</f>
        <v>6.54</v>
      </c>
      <c r="I397">
        <f t="shared" si="6"/>
        <v>39.24</v>
      </c>
    </row>
    <row r="398" spans="1:9" x14ac:dyDescent="0.25">
      <c r="A398">
        <v>1656</v>
      </c>
      <c r="B398" s="1">
        <v>45328</v>
      </c>
      <c r="C398">
        <v>283</v>
      </c>
      <c r="D398">
        <v>1</v>
      </c>
      <c r="E398">
        <v>3</v>
      </c>
      <c r="F398">
        <v>4</v>
      </c>
      <c r="G398" t="s">
        <v>1044</v>
      </c>
      <c r="H398">
        <f>_xlfn.XLOOKUP(D398, productos!$A$2:$A$150, productos!$D$2:$D$150, "No Encontrado", 0)</f>
        <v>12.24</v>
      </c>
      <c r="I398">
        <f t="shared" si="6"/>
        <v>36.72</v>
      </c>
    </row>
    <row r="399" spans="1:9" x14ac:dyDescent="0.25">
      <c r="A399">
        <v>1735</v>
      </c>
      <c r="B399" s="1">
        <v>45328</v>
      </c>
      <c r="C399">
        <v>130</v>
      </c>
      <c r="D399">
        <v>8</v>
      </c>
      <c r="E399">
        <v>6</v>
      </c>
      <c r="F399">
        <v>5</v>
      </c>
      <c r="G399" t="s">
        <v>1044</v>
      </c>
      <c r="H399">
        <f>_xlfn.XLOOKUP(D399, productos!$A$2:$A$150, productos!$D$2:$D$150, "No Encontrado", 0)</f>
        <v>16.21</v>
      </c>
      <c r="I399">
        <f t="shared" si="6"/>
        <v>97.26</v>
      </c>
    </row>
    <row r="400" spans="1:9" x14ac:dyDescent="0.25">
      <c r="A400">
        <v>2126</v>
      </c>
      <c r="B400" s="1">
        <v>45328</v>
      </c>
      <c r="C400">
        <v>181</v>
      </c>
      <c r="D400">
        <v>3</v>
      </c>
      <c r="E400">
        <v>3</v>
      </c>
      <c r="F400">
        <v>4</v>
      </c>
      <c r="G400" t="s">
        <v>1045</v>
      </c>
      <c r="H400">
        <f>_xlfn.XLOOKUP(D400, productos!$A$2:$A$150, productos!$D$2:$D$150, "No Encontrado", 0)</f>
        <v>17.23</v>
      </c>
      <c r="I400">
        <f t="shared" si="6"/>
        <v>51.69</v>
      </c>
    </row>
    <row r="401" spans="1:9" x14ac:dyDescent="0.25">
      <c r="A401">
        <v>2540</v>
      </c>
      <c r="B401" s="1">
        <v>45328</v>
      </c>
      <c r="C401">
        <v>75</v>
      </c>
      <c r="D401">
        <v>28</v>
      </c>
      <c r="E401">
        <v>6</v>
      </c>
      <c r="F401">
        <v>1</v>
      </c>
      <c r="G401" t="s">
        <v>1045</v>
      </c>
      <c r="H401">
        <f>_xlfn.XLOOKUP(D401, productos!$A$2:$A$150, productos!$D$2:$D$150, "No Encontrado", 0)</f>
        <v>9.4499999999999993</v>
      </c>
      <c r="I401">
        <f t="shared" si="6"/>
        <v>56.699999999999996</v>
      </c>
    </row>
    <row r="402" spans="1:9" x14ac:dyDescent="0.25">
      <c r="A402">
        <v>2680</v>
      </c>
      <c r="B402" s="1">
        <v>45328</v>
      </c>
      <c r="C402">
        <v>155</v>
      </c>
      <c r="D402">
        <v>18</v>
      </c>
      <c r="E402">
        <v>2</v>
      </c>
      <c r="F402">
        <v>4</v>
      </c>
      <c r="G402" t="s">
        <v>1044</v>
      </c>
      <c r="H402">
        <f>_xlfn.XLOOKUP(D402, productos!$A$2:$A$150, productos!$D$2:$D$150, "No Encontrado", 0)</f>
        <v>7.25</v>
      </c>
      <c r="I402">
        <f t="shared" si="6"/>
        <v>14.5</v>
      </c>
    </row>
    <row r="403" spans="1:9" x14ac:dyDescent="0.25">
      <c r="A403">
        <v>441</v>
      </c>
      <c r="B403" s="1">
        <v>45329</v>
      </c>
      <c r="C403">
        <v>21</v>
      </c>
      <c r="D403">
        <v>7</v>
      </c>
      <c r="E403">
        <v>6</v>
      </c>
      <c r="F403">
        <v>3</v>
      </c>
      <c r="G403" t="s">
        <v>1044</v>
      </c>
      <c r="H403">
        <f>_xlfn.XLOOKUP(D403, productos!$A$2:$A$150, productos!$D$2:$D$150, "No Encontrado", 0)</f>
        <v>11.25</v>
      </c>
      <c r="I403">
        <f t="shared" si="6"/>
        <v>67.5</v>
      </c>
    </row>
    <row r="404" spans="1:9" x14ac:dyDescent="0.25">
      <c r="A404">
        <v>471</v>
      </c>
      <c r="B404" s="1">
        <v>45329</v>
      </c>
      <c r="C404">
        <v>108</v>
      </c>
      <c r="D404">
        <v>12</v>
      </c>
      <c r="E404">
        <v>6</v>
      </c>
      <c r="F404">
        <v>5</v>
      </c>
      <c r="G404" t="s">
        <v>1045</v>
      </c>
      <c r="H404">
        <f>_xlfn.XLOOKUP(D404, productos!$A$2:$A$150, productos!$D$2:$D$150, "No Encontrado", 0)</f>
        <v>8.1199999999999992</v>
      </c>
      <c r="I404">
        <f t="shared" si="6"/>
        <v>48.72</v>
      </c>
    </row>
    <row r="405" spans="1:9" x14ac:dyDescent="0.25">
      <c r="A405">
        <v>1136</v>
      </c>
      <c r="B405" s="1">
        <v>45329</v>
      </c>
      <c r="C405">
        <v>187</v>
      </c>
      <c r="D405">
        <v>23</v>
      </c>
      <c r="E405">
        <v>3</v>
      </c>
      <c r="F405">
        <v>3</v>
      </c>
      <c r="G405" t="s">
        <v>1044</v>
      </c>
      <c r="H405">
        <f>_xlfn.XLOOKUP(D405, productos!$A$2:$A$150, productos!$D$2:$D$150, "No Encontrado", 0)</f>
        <v>8.23</v>
      </c>
      <c r="I405">
        <f t="shared" si="6"/>
        <v>24.69</v>
      </c>
    </row>
    <row r="406" spans="1:9" x14ac:dyDescent="0.25">
      <c r="A406">
        <v>1753</v>
      </c>
      <c r="B406" s="1">
        <v>45329</v>
      </c>
      <c r="C406">
        <v>35</v>
      </c>
      <c r="D406">
        <v>17</v>
      </c>
      <c r="E406">
        <v>2</v>
      </c>
      <c r="F406">
        <v>4</v>
      </c>
      <c r="G406" t="s">
        <v>1045</v>
      </c>
      <c r="H406">
        <f>_xlfn.XLOOKUP(D406, productos!$A$2:$A$150, productos!$D$2:$D$150, "No Encontrado", 0)</f>
        <v>6.54</v>
      </c>
      <c r="I406">
        <f t="shared" si="6"/>
        <v>13.08</v>
      </c>
    </row>
    <row r="407" spans="1:9" x14ac:dyDescent="0.25">
      <c r="A407">
        <v>2127</v>
      </c>
      <c r="B407" s="1">
        <v>45329</v>
      </c>
      <c r="C407">
        <v>180</v>
      </c>
      <c r="D407">
        <v>6</v>
      </c>
      <c r="E407">
        <v>3</v>
      </c>
      <c r="F407">
        <v>3</v>
      </c>
      <c r="G407" t="s">
        <v>1044</v>
      </c>
      <c r="H407">
        <f>_xlfn.XLOOKUP(D407, productos!$A$2:$A$150, productos!$D$2:$D$150, "No Encontrado", 0)</f>
        <v>28.56</v>
      </c>
      <c r="I407">
        <f t="shared" si="6"/>
        <v>85.679999999999993</v>
      </c>
    </row>
    <row r="408" spans="1:9" x14ac:dyDescent="0.25">
      <c r="A408">
        <v>2209</v>
      </c>
      <c r="B408" s="1">
        <v>45329</v>
      </c>
      <c r="C408">
        <v>151</v>
      </c>
      <c r="D408">
        <v>3</v>
      </c>
      <c r="E408">
        <v>2</v>
      </c>
      <c r="F408">
        <v>1</v>
      </c>
      <c r="G408" t="s">
        <v>1044</v>
      </c>
      <c r="H408">
        <f>_xlfn.XLOOKUP(D408, productos!$A$2:$A$150, productos!$D$2:$D$150, "No Encontrado", 0)</f>
        <v>17.23</v>
      </c>
      <c r="I408">
        <f t="shared" si="6"/>
        <v>34.46</v>
      </c>
    </row>
    <row r="409" spans="1:9" x14ac:dyDescent="0.25">
      <c r="A409">
        <v>2935</v>
      </c>
      <c r="B409" s="1">
        <v>45329</v>
      </c>
      <c r="C409">
        <v>164</v>
      </c>
      <c r="D409">
        <v>25</v>
      </c>
      <c r="E409">
        <v>3</v>
      </c>
      <c r="F409">
        <v>4</v>
      </c>
      <c r="G409" t="s">
        <v>1044</v>
      </c>
      <c r="H409">
        <f>_xlfn.XLOOKUP(D409, productos!$A$2:$A$150, productos!$D$2:$D$150, "No Encontrado", 0)</f>
        <v>15.45</v>
      </c>
      <c r="I409">
        <f t="shared" si="6"/>
        <v>46.349999999999994</v>
      </c>
    </row>
    <row r="410" spans="1:9" x14ac:dyDescent="0.25">
      <c r="A410">
        <v>734</v>
      </c>
      <c r="B410" s="1">
        <v>45330</v>
      </c>
      <c r="C410">
        <v>212</v>
      </c>
      <c r="D410">
        <v>36</v>
      </c>
      <c r="E410">
        <v>5</v>
      </c>
      <c r="F410">
        <v>2</v>
      </c>
      <c r="G410" t="s">
        <v>1044</v>
      </c>
      <c r="H410">
        <f>_xlfn.XLOOKUP(D410, productos!$A$2:$A$150, productos!$D$2:$D$150, "No Encontrado", 0)</f>
        <v>3.25</v>
      </c>
      <c r="I410">
        <f t="shared" si="6"/>
        <v>16.25</v>
      </c>
    </row>
    <row r="411" spans="1:9" x14ac:dyDescent="0.25">
      <c r="A411">
        <v>2043</v>
      </c>
      <c r="B411" s="1">
        <v>45330</v>
      </c>
      <c r="C411">
        <v>318</v>
      </c>
      <c r="D411">
        <v>27</v>
      </c>
      <c r="E411">
        <v>2</v>
      </c>
      <c r="F411">
        <v>5</v>
      </c>
      <c r="G411" t="s">
        <v>1044</v>
      </c>
      <c r="H411">
        <f>_xlfn.XLOOKUP(D411, productos!$A$2:$A$150, productos!$D$2:$D$150, "No Encontrado", 0)</f>
        <v>6.21</v>
      </c>
      <c r="I411">
        <f t="shared" si="6"/>
        <v>12.42</v>
      </c>
    </row>
    <row r="412" spans="1:9" x14ac:dyDescent="0.25">
      <c r="A412">
        <v>2335</v>
      </c>
      <c r="B412" s="1">
        <v>45330</v>
      </c>
      <c r="C412">
        <v>56</v>
      </c>
      <c r="D412">
        <v>38</v>
      </c>
      <c r="E412">
        <v>2</v>
      </c>
      <c r="F412">
        <v>5</v>
      </c>
      <c r="G412" t="s">
        <v>1044</v>
      </c>
      <c r="H412">
        <f>_xlfn.XLOOKUP(D412, productos!$A$2:$A$150, productos!$D$2:$D$150, "No Encontrado", 0)</f>
        <v>6.21</v>
      </c>
      <c r="I412">
        <f t="shared" si="6"/>
        <v>12.42</v>
      </c>
    </row>
    <row r="413" spans="1:9" x14ac:dyDescent="0.25">
      <c r="A413">
        <v>2770</v>
      </c>
      <c r="B413" s="1">
        <v>45330</v>
      </c>
      <c r="C413">
        <v>295</v>
      </c>
      <c r="D413">
        <v>34</v>
      </c>
      <c r="E413">
        <v>4</v>
      </c>
      <c r="F413">
        <v>2</v>
      </c>
      <c r="G413" t="s">
        <v>1044</v>
      </c>
      <c r="H413">
        <f>_xlfn.XLOOKUP(D413, productos!$A$2:$A$150, productos!$D$2:$D$150, "No Encontrado", 0)</f>
        <v>5.45</v>
      </c>
      <c r="I413">
        <f t="shared" si="6"/>
        <v>21.8</v>
      </c>
    </row>
    <row r="414" spans="1:9" x14ac:dyDescent="0.25">
      <c r="A414">
        <v>1044</v>
      </c>
      <c r="B414" s="1">
        <v>45331</v>
      </c>
      <c r="C414">
        <v>69</v>
      </c>
      <c r="D414">
        <v>29</v>
      </c>
      <c r="E414">
        <v>1</v>
      </c>
      <c r="F414">
        <v>5</v>
      </c>
      <c r="G414" t="s">
        <v>1044</v>
      </c>
      <c r="H414">
        <f>_xlfn.XLOOKUP(D414, productos!$A$2:$A$150, productos!$D$2:$D$150, "No Encontrado", 0)</f>
        <v>11.54</v>
      </c>
      <c r="I414">
        <f t="shared" si="6"/>
        <v>11.54</v>
      </c>
    </row>
    <row r="415" spans="1:9" x14ac:dyDescent="0.25">
      <c r="A415">
        <v>1162</v>
      </c>
      <c r="B415" s="1">
        <v>45331</v>
      </c>
      <c r="C415">
        <v>104</v>
      </c>
      <c r="D415">
        <v>17</v>
      </c>
      <c r="E415">
        <v>2</v>
      </c>
      <c r="F415">
        <v>3</v>
      </c>
      <c r="G415" t="s">
        <v>1044</v>
      </c>
      <c r="H415">
        <f>_xlfn.XLOOKUP(D415, productos!$A$2:$A$150, productos!$D$2:$D$150, "No Encontrado", 0)</f>
        <v>6.54</v>
      </c>
      <c r="I415">
        <f t="shared" si="6"/>
        <v>13.08</v>
      </c>
    </row>
    <row r="416" spans="1:9" x14ac:dyDescent="0.25">
      <c r="A416">
        <v>1725</v>
      </c>
      <c r="B416" s="1">
        <v>45331</v>
      </c>
      <c r="C416">
        <v>293</v>
      </c>
      <c r="D416">
        <v>25</v>
      </c>
      <c r="E416">
        <v>6</v>
      </c>
      <c r="F416">
        <v>4</v>
      </c>
      <c r="G416" t="s">
        <v>1044</v>
      </c>
      <c r="H416">
        <f>_xlfn.XLOOKUP(D416, productos!$A$2:$A$150, productos!$D$2:$D$150, "No Encontrado", 0)</f>
        <v>15.45</v>
      </c>
      <c r="I416">
        <f t="shared" si="6"/>
        <v>92.699999999999989</v>
      </c>
    </row>
    <row r="417" spans="1:9" x14ac:dyDescent="0.25">
      <c r="A417">
        <v>1878</v>
      </c>
      <c r="B417" s="1">
        <v>45331</v>
      </c>
      <c r="C417">
        <v>214</v>
      </c>
      <c r="D417">
        <v>17</v>
      </c>
      <c r="E417">
        <v>3</v>
      </c>
      <c r="F417">
        <v>4</v>
      </c>
      <c r="G417" t="s">
        <v>1044</v>
      </c>
      <c r="H417">
        <f>_xlfn.XLOOKUP(D417, productos!$A$2:$A$150, productos!$D$2:$D$150, "No Encontrado", 0)</f>
        <v>6.54</v>
      </c>
      <c r="I417">
        <f t="shared" si="6"/>
        <v>19.62</v>
      </c>
    </row>
    <row r="418" spans="1:9" x14ac:dyDescent="0.25">
      <c r="A418">
        <v>2480</v>
      </c>
      <c r="B418" s="1">
        <v>45331</v>
      </c>
      <c r="C418">
        <v>278</v>
      </c>
      <c r="D418">
        <v>22</v>
      </c>
      <c r="E418">
        <v>1</v>
      </c>
      <c r="F418">
        <v>1</v>
      </c>
      <c r="G418" t="s">
        <v>1044</v>
      </c>
      <c r="H418">
        <f>_xlfn.XLOOKUP(D418, productos!$A$2:$A$150, productos!$D$2:$D$150, "No Encontrado", 0)</f>
        <v>4.21</v>
      </c>
      <c r="I418">
        <f t="shared" si="6"/>
        <v>4.21</v>
      </c>
    </row>
    <row r="419" spans="1:9" x14ac:dyDescent="0.25">
      <c r="A419">
        <v>2610</v>
      </c>
      <c r="B419" s="1">
        <v>45331</v>
      </c>
      <c r="C419">
        <v>78</v>
      </c>
      <c r="D419">
        <v>1</v>
      </c>
      <c r="E419">
        <v>6</v>
      </c>
      <c r="F419">
        <v>4</v>
      </c>
      <c r="G419" t="s">
        <v>1044</v>
      </c>
      <c r="H419">
        <f>_xlfn.XLOOKUP(D419, productos!$A$2:$A$150, productos!$D$2:$D$150, "No Encontrado", 0)</f>
        <v>12.24</v>
      </c>
      <c r="I419">
        <f t="shared" si="6"/>
        <v>73.44</v>
      </c>
    </row>
    <row r="420" spans="1:9" x14ac:dyDescent="0.25">
      <c r="A420">
        <v>2947</v>
      </c>
      <c r="B420" s="1">
        <v>45331</v>
      </c>
      <c r="C420">
        <v>28</v>
      </c>
      <c r="D420">
        <v>6</v>
      </c>
      <c r="E420">
        <v>5</v>
      </c>
      <c r="F420">
        <v>4</v>
      </c>
      <c r="G420" t="s">
        <v>1045</v>
      </c>
      <c r="H420">
        <f>_xlfn.XLOOKUP(D420, productos!$A$2:$A$150, productos!$D$2:$D$150, "No Encontrado", 0)</f>
        <v>28.56</v>
      </c>
      <c r="I420">
        <f t="shared" si="6"/>
        <v>142.79999999999998</v>
      </c>
    </row>
    <row r="421" spans="1:9" x14ac:dyDescent="0.25">
      <c r="A421">
        <v>1102</v>
      </c>
      <c r="B421" s="1">
        <v>45332</v>
      </c>
      <c r="C421">
        <v>59</v>
      </c>
      <c r="D421">
        <v>29</v>
      </c>
      <c r="E421">
        <v>4</v>
      </c>
      <c r="F421">
        <v>3</v>
      </c>
      <c r="G421" t="s">
        <v>1044</v>
      </c>
      <c r="H421">
        <f>_xlfn.XLOOKUP(D421, productos!$A$2:$A$150, productos!$D$2:$D$150, "No Encontrado", 0)</f>
        <v>11.54</v>
      </c>
      <c r="I421">
        <f t="shared" si="6"/>
        <v>46.16</v>
      </c>
    </row>
    <row r="422" spans="1:9" x14ac:dyDescent="0.25">
      <c r="A422">
        <v>1217</v>
      </c>
      <c r="B422" s="1">
        <v>45332</v>
      </c>
      <c r="C422">
        <v>144</v>
      </c>
      <c r="D422">
        <v>22</v>
      </c>
      <c r="E422">
        <v>2</v>
      </c>
      <c r="F422">
        <v>4</v>
      </c>
      <c r="G422" t="s">
        <v>1044</v>
      </c>
      <c r="H422">
        <f>_xlfn.XLOOKUP(D422, productos!$A$2:$A$150, productos!$D$2:$D$150, "No Encontrado", 0)</f>
        <v>4.21</v>
      </c>
      <c r="I422">
        <f t="shared" si="6"/>
        <v>8.42</v>
      </c>
    </row>
    <row r="423" spans="1:9" x14ac:dyDescent="0.25">
      <c r="A423">
        <v>1363</v>
      </c>
      <c r="B423" s="1">
        <v>45332</v>
      </c>
      <c r="C423">
        <v>314</v>
      </c>
      <c r="D423">
        <v>28</v>
      </c>
      <c r="E423">
        <v>3</v>
      </c>
      <c r="F423">
        <v>3</v>
      </c>
      <c r="G423" t="s">
        <v>1045</v>
      </c>
      <c r="H423">
        <f>_xlfn.XLOOKUP(D423, productos!$A$2:$A$150, productos!$D$2:$D$150, "No Encontrado", 0)</f>
        <v>9.4499999999999993</v>
      </c>
      <c r="I423">
        <f t="shared" si="6"/>
        <v>28.349999999999998</v>
      </c>
    </row>
    <row r="424" spans="1:9" x14ac:dyDescent="0.25">
      <c r="A424">
        <v>1600</v>
      </c>
      <c r="B424" s="1">
        <v>45332</v>
      </c>
      <c r="C424">
        <v>230</v>
      </c>
      <c r="D424">
        <v>24</v>
      </c>
      <c r="E424">
        <v>6</v>
      </c>
      <c r="F424">
        <v>3</v>
      </c>
      <c r="G424" t="s">
        <v>1044</v>
      </c>
      <c r="H424">
        <f>_xlfn.XLOOKUP(D424, productos!$A$2:$A$150, productos!$D$2:$D$150, "No Encontrado", 0)</f>
        <v>13.54</v>
      </c>
      <c r="I424">
        <f t="shared" si="6"/>
        <v>81.239999999999995</v>
      </c>
    </row>
    <row r="425" spans="1:9" x14ac:dyDescent="0.25">
      <c r="A425">
        <v>2719</v>
      </c>
      <c r="B425" s="1">
        <v>45332</v>
      </c>
      <c r="C425">
        <v>57</v>
      </c>
      <c r="D425">
        <v>16</v>
      </c>
      <c r="E425">
        <v>1</v>
      </c>
      <c r="F425">
        <v>4</v>
      </c>
      <c r="G425" t="s">
        <v>1044</v>
      </c>
      <c r="H425">
        <f>_xlfn.XLOOKUP(D425, productos!$A$2:$A$150, productos!$D$2:$D$150, "No Encontrado", 0)</f>
        <v>15.23</v>
      </c>
      <c r="I425">
        <f t="shared" si="6"/>
        <v>15.23</v>
      </c>
    </row>
    <row r="426" spans="1:9" x14ac:dyDescent="0.25">
      <c r="A426">
        <v>621</v>
      </c>
      <c r="B426" s="1">
        <v>45333</v>
      </c>
      <c r="C426">
        <v>166</v>
      </c>
      <c r="D426">
        <v>3</v>
      </c>
      <c r="E426">
        <v>3</v>
      </c>
      <c r="F426">
        <v>3</v>
      </c>
      <c r="G426" t="s">
        <v>1044</v>
      </c>
      <c r="H426">
        <f>_xlfn.XLOOKUP(D426, productos!$A$2:$A$150, productos!$D$2:$D$150, "No Encontrado", 0)</f>
        <v>17.23</v>
      </c>
      <c r="I426">
        <f t="shared" si="6"/>
        <v>51.69</v>
      </c>
    </row>
    <row r="427" spans="1:9" x14ac:dyDescent="0.25">
      <c r="A427">
        <v>995</v>
      </c>
      <c r="B427" s="1">
        <v>45333</v>
      </c>
      <c r="C427">
        <v>224</v>
      </c>
      <c r="D427">
        <v>13</v>
      </c>
      <c r="E427">
        <v>5</v>
      </c>
      <c r="F427">
        <v>5</v>
      </c>
      <c r="G427" t="s">
        <v>1044</v>
      </c>
      <c r="H427">
        <f>_xlfn.XLOOKUP(D427, productos!$A$2:$A$150, productos!$D$2:$D$150, "No Encontrado", 0)</f>
        <v>12.56</v>
      </c>
      <c r="I427">
        <f t="shared" si="6"/>
        <v>62.800000000000004</v>
      </c>
    </row>
    <row r="428" spans="1:9" x14ac:dyDescent="0.25">
      <c r="A428">
        <v>1218</v>
      </c>
      <c r="B428" s="1">
        <v>45333</v>
      </c>
      <c r="C428">
        <v>34</v>
      </c>
      <c r="D428">
        <v>29</v>
      </c>
      <c r="E428">
        <v>1</v>
      </c>
      <c r="F428">
        <v>2</v>
      </c>
      <c r="G428" t="s">
        <v>1044</v>
      </c>
      <c r="H428">
        <f>_xlfn.XLOOKUP(D428, productos!$A$2:$A$150, productos!$D$2:$D$150, "No Encontrado", 0)</f>
        <v>11.54</v>
      </c>
      <c r="I428">
        <f t="shared" si="6"/>
        <v>11.54</v>
      </c>
    </row>
    <row r="429" spans="1:9" x14ac:dyDescent="0.25">
      <c r="A429">
        <v>1362</v>
      </c>
      <c r="B429" s="1">
        <v>45333</v>
      </c>
      <c r="C429">
        <v>120</v>
      </c>
      <c r="D429">
        <v>19</v>
      </c>
      <c r="E429">
        <v>2</v>
      </c>
      <c r="F429">
        <v>5</v>
      </c>
      <c r="G429" t="s">
        <v>1045</v>
      </c>
      <c r="H429">
        <f>_xlfn.XLOOKUP(D429, productos!$A$2:$A$150, productos!$D$2:$D$150, "No Encontrado", 0)</f>
        <v>6.54</v>
      </c>
      <c r="I429">
        <f t="shared" si="6"/>
        <v>13.08</v>
      </c>
    </row>
    <row r="430" spans="1:9" x14ac:dyDescent="0.25">
      <c r="A430">
        <v>1651</v>
      </c>
      <c r="B430" s="1">
        <v>45333</v>
      </c>
      <c r="C430">
        <v>85</v>
      </c>
      <c r="D430">
        <v>13</v>
      </c>
      <c r="E430">
        <v>6</v>
      </c>
      <c r="F430">
        <v>4</v>
      </c>
      <c r="G430" t="s">
        <v>1044</v>
      </c>
      <c r="H430">
        <f>_xlfn.XLOOKUP(D430, productos!$A$2:$A$150, productos!$D$2:$D$150, "No Encontrado", 0)</f>
        <v>12.56</v>
      </c>
      <c r="I430">
        <f t="shared" si="6"/>
        <v>75.36</v>
      </c>
    </row>
    <row r="431" spans="1:9" x14ac:dyDescent="0.25">
      <c r="A431">
        <v>1680</v>
      </c>
      <c r="B431" s="1">
        <v>45333</v>
      </c>
      <c r="C431">
        <v>241</v>
      </c>
      <c r="D431">
        <v>28</v>
      </c>
      <c r="E431">
        <v>3</v>
      </c>
      <c r="F431">
        <v>3</v>
      </c>
      <c r="G431" t="s">
        <v>1044</v>
      </c>
      <c r="H431">
        <f>_xlfn.XLOOKUP(D431, productos!$A$2:$A$150, productos!$D$2:$D$150, "No Encontrado", 0)</f>
        <v>9.4499999999999993</v>
      </c>
      <c r="I431">
        <f t="shared" si="6"/>
        <v>28.349999999999998</v>
      </c>
    </row>
    <row r="432" spans="1:9" x14ac:dyDescent="0.25">
      <c r="A432">
        <v>1754</v>
      </c>
      <c r="B432" s="1">
        <v>45333</v>
      </c>
      <c r="C432">
        <v>212</v>
      </c>
      <c r="D432">
        <v>27</v>
      </c>
      <c r="E432">
        <v>3</v>
      </c>
      <c r="F432">
        <v>5</v>
      </c>
      <c r="G432" t="s">
        <v>1044</v>
      </c>
      <c r="H432">
        <f>_xlfn.XLOOKUP(D432, productos!$A$2:$A$150, productos!$D$2:$D$150, "No Encontrado", 0)</f>
        <v>6.21</v>
      </c>
      <c r="I432">
        <f t="shared" si="6"/>
        <v>18.63</v>
      </c>
    </row>
    <row r="433" spans="1:9" x14ac:dyDescent="0.25">
      <c r="A433">
        <v>1934</v>
      </c>
      <c r="B433" s="1">
        <v>45333</v>
      </c>
      <c r="C433">
        <v>69</v>
      </c>
      <c r="D433">
        <v>27</v>
      </c>
      <c r="E433">
        <v>1</v>
      </c>
      <c r="F433">
        <v>2</v>
      </c>
      <c r="G433" t="s">
        <v>1044</v>
      </c>
      <c r="H433">
        <f>_xlfn.XLOOKUP(D433, productos!$A$2:$A$150, productos!$D$2:$D$150, "No Encontrado", 0)</f>
        <v>6.21</v>
      </c>
      <c r="I433">
        <f t="shared" si="6"/>
        <v>6.21</v>
      </c>
    </row>
    <row r="434" spans="1:9" x14ac:dyDescent="0.25">
      <c r="A434">
        <v>2534</v>
      </c>
      <c r="B434" s="1">
        <v>45333</v>
      </c>
      <c r="C434">
        <v>250</v>
      </c>
      <c r="D434">
        <v>11</v>
      </c>
      <c r="E434">
        <v>1</v>
      </c>
      <c r="F434">
        <v>5</v>
      </c>
      <c r="G434" t="s">
        <v>1044</v>
      </c>
      <c r="H434">
        <f>_xlfn.XLOOKUP(D434, productos!$A$2:$A$150, productos!$D$2:$D$150, "No Encontrado", 0)</f>
        <v>11.23</v>
      </c>
      <c r="I434">
        <f t="shared" si="6"/>
        <v>11.23</v>
      </c>
    </row>
    <row r="435" spans="1:9" x14ac:dyDescent="0.25">
      <c r="A435">
        <v>2642</v>
      </c>
      <c r="B435" s="1">
        <v>45333</v>
      </c>
      <c r="C435">
        <v>54</v>
      </c>
      <c r="D435">
        <v>37</v>
      </c>
      <c r="E435">
        <v>5</v>
      </c>
      <c r="F435">
        <v>4</v>
      </c>
      <c r="G435" t="s">
        <v>1044</v>
      </c>
      <c r="H435">
        <f>_xlfn.XLOOKUP(D435, productos!$A$2:$A$150, productos!$D$2:$D$150, "No Encontrado", 0)</f>
        <v>3.65</v>
      </c>
      <c r="I435">
        <f t="shared" si="6"/>
        <v>18.25</v>
      </c>
    </row>
    <row r="436" spans="1:9" x14ac:dyDescent="0.25">
      <c r="A436">
        <v>2703</v>
      </c>
      <c r="B436" s="1">
        <v>45333</v>
      </c>
      <c r="C436">
        <v>255</v>
      </c>
      <c r="D436">
        <v>29</v>
      </c>
      <c r="E436">
        <v>3</v>
      </c>
      <c r="F436">
        <v>1</v>
      </c>
      <c r="G436" t="s">
        <v>1045</v>
      </c>
      <c r="H436">
        <f>_xlfn.XLOOKUP(D436, productos!$A$2:$A$150, productos!$D$2:$D$150, "No Encontrado", 0)</f>
        <v>11.54</v>
      </c>
      <c r="I436">
        <f t="shared" si="6"/>
        <v>34.619999999999997</v>
      </c>
    </row>
    <row r="437" spans="1:9" x14ac:dyDescent="0.25">
      <c r="A437">
        <v>2874</v>
      </c>
      <c r="B437" s="1">
        <v>45333</v>
      </c>
      <c r="C437">
        <v>87</v>
      </c>
      <c r="D437">
        <v>19</v>
      </c>
      <c r="E437">
        <v>4</v>
      </c>
      <c r="F437">
        <v>5</v>
      </c>
      <c r="G437" t="s">
        <v>1044</v>
      </c>
      <c r="H437">
        <f>_xlfn.XLOOKUP(D437, productos!$A$2:$A$150, productos!$D$2:$D$150, "No Encontrado", 0)</f>
        <v>6.54</v>
      </c>
      <c r="I437">
        <f t="shared" si="6"/>
        <v>26.16</v>
      </c>
    </row>
    <row r="438" spans="1:9" x14ac:dyDescent="0.25">
      <c r="A438">
        <v>2933</v>
      </c>
      <c r="B438" s="1">
        <v>45333</v>
      </c>
      <c r="C438">
        <v>307</v>
      </c>
      <c r="D438">
        <v>37</v>
      </c>
      <c r="E438">
        <v>4</v>
      </c>
      <c r="F438">
        <v>5</v>
      </c>
      <c r="G438" t="s">
        <v>1044</v>
      </c>
      <c r="H438">
        <f>_xlfn.XLOOKUP(D438, productos!$A$2:$A$150, productos!$D$2:$D$150, "No Encontrado", 0)</f>
        <v>3.65</v>
      </c>
      <c r="I438">
        <f t="shared" si="6"/>
        <v>14.6</v>
      </c>
    </row>
    <row r="439" spans="1:9" x14ac:dyDescent="0.25">
      <c r="A439">
        <v>488</v>
      </c>
      <c r="B439" s="1">
        <v>45334</v>
      </c>
      <c r="C439">
        <v>47</v>
      </c>
      <c r="D439">
        <v>14</v>
      </c>
      <c r="E439">
        <v>2</v>
      </c>
      <c r="F439">
        <v>5</v>
      </c>
      <c r="G439" t="s">
        <v>1044</v>
      </c>
      <c r="H439">
        <f>_xlfn.XLOOKUP(D439, productos!$A$2:$A$150, productos!$D$2:$D$150, "No Encontrado", 0)</f>
        <v>12.36</v>
      </c>
      <c r="I439">
        <f t="shared" si="6"/>
        <v>24.72</v>
      </c>
    </row>
    <row r="440" spans="1:9" x14ac:dyDescent="0.25">
      <c r="A440">
        <v>1168</v>
      </c>
      <c r="B440" s="1">
        <v>45334</v>
      </c>
      <c r="C440">
        <v>286</v>
      </c>
      <c r="D440">
        <v>4</v>
      </c>
      <c r="E440">
        <v>4</v>
      </c>
      <c r="F440">
        <v>5</v>
      </c>
      <c r="G440" t="s">
        <v>1044</v>
      </c>
      <c r="H440">
        <f>_xlfn.XLOOKUP(D440, productos!$A$2:$A$150, productos!$D$2:$D$150, "No Encontrado", 0)</f>
        <v>19.23</v>
      </c>
      <c r="I440">
        <f t="shared" si="6"/>
        <v>76.92</v>
      </c>
    </row>
    <row r="441" spans="1:9" x14ac:dyDescent="0.25">
      <c r="A441">
        <v>1540</v>
      </c>
      <c r="B441" s="1">
        <v>45334</v>
      </c>
      <c r="C441">
        <v>273</v>
      </c>
      <c r="D441">
        <v>14</v>
      </c>
      <c r="E441">
        <v>6</v>
      </c>
      <c r="F441">
        <v>3</v>
      </c>
      <c r="G441" t="s">
        <v>1044</v>
      </c>
      <c r="H441">
        <f>_xlfn.XLOOKUP(D441, productos!$A$2:$A$150, productos!$D$2:$D$150, "No Encontrado", 0)</f>
        <v>12.36</v>
      </c>
      <c r="I441">
        <f t="shared" si="6"/>
        <v>74.16</v>
      </c>
    </row>
    <row r="442" spans="1:9" x14ac:dyDescent="0.25">
      <c r="A442">
        <v>2007</v>
      </c>
      <c r="B442" s="1">
        <v>45334</v>
      </c>
      <c r="C442">
        <v>288</v>
      </c>
      <c r="D442">
        <v>14</v>
      </c>
      <c r="E442">
        <v>2</v>
      </c>
      <c r="F442">
        <v>4</v>
      </c>
      <c r="G442" t="s">
        <v>1044</v>
      </c>
      <c r="H442">
        <f>_xlfn.XLOOKUP(D442, productos!$A$2:$A$150, productos!$D$2:$D$150, "No Encontrado", 0)</f>
        <v>12.36</v>
      </c>
      <c r="I442">
        <f t="shared" si="6"/>
        <v>24.72</v>
      </c>
    </row>
    <row r="443" spans="1:9" x14ac:dyDescent="0.25">
      <c r="A443">
        <v>2236</v>
      </c>
      <c r="B443" s="1">
        <v>45334</v>
      </c>
      <c r="C443">
        <v>295</v>
      </c>
      <c r="D443">
        <v>18</v>
      </c>
      <c r="E443">
        <v>4</v>
      </c>
      <c r="F443">
        <v>5</v>
      </c>
      <c r="G443" t="s">
        <v>1044</v>
      </c>
      <c r="H443">
        <f>_xlfn.XLOOKUP(D443, productos!$A$2:$A$150, productos!$D$2:$D$150, "No Encontrado", 0)</f>
        <v>7.25</v>
      </c>
      <c r="I443">
        <f t="shared" si="6"/>
        <v>29</v>
      </c>
    </row>
    <row r="444" spans="1:9" x14ac:dyDescent="0.25">
      <c r="A444">
        <v>459</v>
      </c>
      <c r="B444" s="1">
        <v>45335</v>
      </c>
      <c r="C444">
        <v>128</v>
      </c>
      <c r="D444">
        <v>24</v>
      </c>
      <c r="E444">
        <v>4</v>
      </c>
      <c r="F444">
        <v>3</v>
      </c>
      <c r="G444" t="s">
        <v>1044</v>
      </c>
      <c r="H444">
        <f>_xlfn.XLOOKUP(D444, productos!$A$2:$A$150, productos!$D$2:$D$150, "No Encontrado", 0)</f>
        <v>13.54</v>
      </c>
      <c r="I444">
        <f t="shared" si="6"/>
        <v>54.16</v>
      </c>
    </row>
    <row r="445" spans="1:9" x14ac:dyDescent="0.25">
      <c r="A445">
        <v>821</v>
      </c>
      <c r="B445" s="1">
        <v>45335</v>
      </c>
      <c r="C445">
        <v>43</v>
      </c>
      <c r="D445">
        <v>1</v>
      </c>
      <c r="E445">
        <v>3</v>
      </c>
      <c r="F445">
        <v>5</v>
      </c>
      <c r="G445" t="s">
        <v>1045</v>
      </c>
      <c r="H445">
        <f>_xlfn.XLOOKUP(D445, productos!$A$2:$A$150, productos!$D$2:$D$150, "No Encontrado", 0)</f>
        <v>12.24</v>
      </c>
      <c r="I445">
        <f t="shared" si="6"/>
        <v>36.72</v>
      </c>
    </row>
    <row r="446" spans="1:9" x14ac:dyDescent="0.25">
      <c r="A446">
        <v>908</v>
      </c>
      <c r="B446" s="1">
        <v>45335</v>
      </c>
      <c r="C446">
        <v>141</v>
      </c>
      <c r="D446">
        <v>11</v>
      </c>
      <c r="E446">
        <v>4</v>
      </c>
      <c r="F446">
        <v>4</v>
      </c>
      <c r="G446" t="s">
        <v>1045</v>
      </c>
      <c r="H446">
        <f>_xlfn.XLOOKUP(D446, productos!$A$2:$A$150, productos!$D$2:$D$150, "No Encontrado", 0)</f>
        <v>11.23</v>
      </c>
      <c r="I446">
        <f t="shared" si="6"/>
        <v>44.92</v>
      </c>
    </row>
    <row r="447" spans="1:9" x14ac:dyDescent="0.25">
      <c r="A447">
        <v>1826</v>
      </c>
      <c r="B447" s="1">
        <v>45335</v>
      </c>
      <c r="C447">
        <v>300</v>
      </c>
      <c r="D447">
        <v>20</v>
      </c>
      <c r="E447">
        <v>1</v>
      </c>
      <c r="F447">
        <v>1</v>
      </c>
      <c r="G447" t="s">
        <v>1044</v>
      </c>
      <c r="H447">
        <f>_xlfn.XLOOKUP(D447, productos!$A$2:$A$150, productos!$D$2:$D$150, "No Encontrado", 0)</f>
        <v>4.25</v>
      </c>
      <c r="I447">
        <f t="shared" si="6"/>
        <v>4.25</v>
      </c>
    </row>
    <row r="448" spans="1:9" x14ac:dyDescent="0.25">
      <c r="A448">
        <v>2355</v>
      </c>
      <c r="B448" s="1">
        <v>45335</v>
      </c>
      <c r="C448">
        <v>150</v>
      </c>
      <c r="D448">
        <v>35</v>
      </c>
      <c r="E448">
        <v>2</v>
      </c>
      <c r="F448">
        <v>5</v>
      </c>
      <c r="G448" t="s">
        <v>1044</v>
      </c>
      <c r="H448">
        <f>_xlfn.XLOOKUP(D448, productos!$A$2:$A$150, productos!$D$2:$D$150, "No Encontrado", 0)</f>
        <v>4.25</v>
      </c>
      <c r="I448">
        <f t="shared" si="6"/>
        <v>8.5</v>
      </c>
    </row>
    <row r="449" spans="1:9" x14ac:dyDescent="0.25">
      <c r="A449">
        <v>2555</v>
      </c>
      <c r="B449" s="1">
        <v>45335</v>
      </c>
      <c r="C449">
        <v>130</v>
      </c>
      <c r="D449">
        <v>33</v>
      </c>
      <c r="E449">
        <v>3</v>
      </c>
      <c r="F449">
        <v>5</v>
      </c>
      <c r="G449" t="s">
        <v>1044</v>
      </c>
      <c r="H449">
        <f>_xlfn.XLOOKUP(D449, productos!$A$2:$A$150, productos!$D$2:$D$150, "No Encontrado", 0)</f>
        <v>8.5399999999999991</v>
      </c>
      <c r="I449">
        <f t="shared" si="6"/>
        <v>25.619999999999997</v>
      </c>
    </row>
    <row r="450" spans="1:9" x14ac:dyDescent="0.25">
      <c r="A450">
        <v>2572</v>
      </c>
      <c r="B450" s="1">
        <v>45335</v>
      </c>
      <c r="C450">
        <v>258</v>
      </c>
      <c r="D450">
        <v>26</v>
      </c>
      <c r="E450">
        <v>4</v>
      </c>
      <c r="F450">
        <v>1</v>
      </c>
      <c r="G450" t="s">
        <v>1044</v>
      </c>
      <c r="H450">
        <f>_xlfn.XLOOKUP(D450, productos!$A$2:$A$150, productos!$D$2:$D$150, "No Encontrado", 0)</f>
        <v>9.5399999999999991</v>
      </c>
      <c r="I450">
        <f t="shared" si="6"/>
        <v>38.159999999999997</v>
      </c>
    </row>
    <row r="451" spans="1:9" x14ac:dyDescent="0.25">
      <c r="A451">
        <v>2687</v>
      </c>
      <c r="B451" s="1">
        <v>45335</v>
      </c>
      <c r="C451">
        <v>73</v>
      </c>
      <c r="D451">
        <v>29</v>
      </c>
      <c r="E451">
        <v>4</v>
      </c>
      <c r="F451">
        <v>5</v>
      </c>
      <c r="G451" t="s">
        <v>1044</v>
      </c>
      <c r="H451">
        <f>_xlfn.XLOOKUP(D451, productos!$A$2:$A$150, productos!$D$2:$D$150, "No Encontrado", 0)</f>
        <v>11.54</v>
      </c>
      <c r="I451">
        <f t="shared" ref="I451:I514" si="7">E451*H451</f>
        <v>46.16</v>
      </c>
    </row>
    <row r="452" spans="1:9" x14ac:dyDescent="0.25">
      <c r="A452">
        <v>2709</v>
      </c>
      <c r="B452" s="1">
        <v>45335</v>
      </c>
      <c r="C452">
        <v>304</v>
      </c>
      <c r="D452">
        <v>12</v>
      </c>
      <c r="E452">
        <v>2</v>
      </c>
      <c r="F452">
        <v>1</v>
      </c>
      <c r="G452" t="s">
        <v>1045</v>
      </c>
      <c r="H452">
        <f>_xlfn.XLOOKUP(D452, productos!$A$2:$A$150, productos!$D$2:$D$150, "No Encontrado", 0)</f>
        <v>8.1199999999999992</v>
      </c>
      <c r="I452">
        <f t="shared" si="7"/>
        <v>16.239999999999998</v>
      </c>
    </row>
    <row r="453" spans="1:9" x14ac:dyDescent="0.25">
      <c r="A453">
        <v>1271</v>
      </c>
      <c r="B453" s="1">
        <v>45336</v>
      </c>
      <c r="C453">
        <v>190</v>
      </c>
      <c r="D453">
        <v>27</v>
      </c>
      <c r="E453">
        <v>5</v>
      </c>
      <c r="F453">
        <v>3</v>
      </c>
      <c r="G453" t="s">
        <v>1044</v>
      </c>
      <c r="H453">
        <f>_xlfn.XLOOKUP(D453, productos!$A$2:$A$150, productos!$D$2:$D$150, "No Encontrado", 0)</f>
        <v>6.21</v>
      </c>
      <c r="I453">
        <f t="shared" si="7"/>
        <v>31.05</v>
      </c>
    </row>
    <row r="454" spans="1:9" x14ac:dyDescent="0.25">
      <c r="A454">
        <v>1975</v>
      </c>
      <c r="B454" s="1">
        <v>45336</v>
      </c>
      <c r="C454">
        <v>118</v>
      </c>
      <c r="D454">
        <v>4</v>
      </c>
      <c r="E454">
        <v>6</v>
      </c>
      <c r="F454">
        <v>5</v>
      </c>
      <c r="G454" t="s">
        <v>1044</v>
      </c>
      <c r="H454">
        <f>_xlfn.XLOOKUP(D454, productos!$A$2:$A$150, productos!$D$2:$D$150, "No Encontrado", 0)</f>
        <v>19.23</v>
      </c>
      <c r="I454">
        <f t="shared" si="7"/>
        <v>115.38</v>
      </c>
    </row>
    <row r="455" spans="1:9" x14ac:dyDescent="0.25">
      <c r="A455">
        <v>2076</v>
      </c>
      <c r="B455" s="1">
        <v>45336</v>
      </c>
      <c r="C455">
        <v>5</v>
      </c>
      <c r="D455">
        <v>1</v>
      </c>
      <c r="E455">
        <v>1</v>
      </c>
      <c r="F455">
        <v>4</v>
      </c>
      <c r="G455" t="s">
        <v>1044</v>
      </c>
      <c r="H455">
        <f>_xlfn.XLOOKUP(D455, productos!$A$2:$A$150, productos!$D$2:$D$150, "No Encontrado", 0)</f>
        <v>12.24</v>
      </c>
      <c r="I455">
        <f t="shared" si="7"/>
        <v>12.24</v>
      </c>
    </row>
    <row r="456" spans="1:9" x14ac:dyDescent="0.25">
      <c r="A456">
        <v>2559</v>
      </c>
      <c r="B456" s="1">
        <v>45336</v>
      </c>
      <c r="C456">
        <v>87</v>
      </c>
      <c r="D456">
        <v>15</v>
      </c>
      <c r="E456">
        <v>6</v>
      </c>
      <c r="F456">
        <v>1</v>
      </c>
      <c r="G456" t="s">
        <v>1045</v>
      </c>
      <c r="H456">
        <f>_xlfn.XLOOKUP(D456, productos!$A$2:$A$150, productos!$D$2:$D$150, "No Encontrado", 0)</f>
        <v>3.51</v>
      </c>
      <c r="I456">
        <f t="shared" si="7"/>
        <v>21.06</v>
      </c>
    </row>
    <row r="457" spans="1:9" x14ac:dyDescent="0.25">
      <c r="A457">
        <v>2763</v>
      </c>
      <c r="B457" s="1">
        <v>45336</v>
      </c>
      <c r="C457">
        <v>273</v>
      </c>
      <c r="D457">
        <v>21</v>
      </c>
      <c r="E457">
        <v>5</v>
      </c>
      <c r="F457">
        <v>5</v>
      </c>
      <c r="G457" t="s">
        <v>1044</v>
      </c>
      <c r="H457">
        <f>_xlfn.XLOOKUP(D457, productos!$A$2:$A$150, productos!$D$2:$D$150, "No Encontrado", 0)</f>
        <v>3.25</v>
      </c>
      <c r="I457">
        <f t="shared" si="7"/>
        <v>16.25</v>
      </c>
    </row>
    <row r="458" spans="1:9" x14ac:dyDescent="0.25">
      <c r="A458">
        <v>2801</v>
      </c>
      <c r="B458" s="1">
        <v>45336</v>
      </c>
      <c r="C458">
        <v>105</v>
      </c>
      <c r="D458">
        <v>17</v>
      </c>
      <c r="E458">
        <v>5</v>
      </c>
      <c r="F458">
        <v>3</v>
      </c>
      <c r="G458" t="s">
        <v>1044</v>
      </c>
      <c r="H458">
        <f>_xlfn.XLOOKUP(D458, productos!$A$2:$A$150, productos!$D$2:$D$150, "No Encontrado", 0)</f>
        <v>6.54</v>
      </c>
      <c r="I458">
        <f t="shared" si="7"/>
        <v>32.700000000000003</v>
      </c>
    </row>
    <row r="459" spans="1:9" x14ac:dyDescent="0.25">
      <c r="A459">
        <v>627</v>
      </c>
      <c r="B459" s="1">
        <v>45337</v>
      </c>
      <c r="C459">
        <v>312</v>
      </c>
      <c r="D459">
        <v>24</v>
      </c>
      <c r="E459">
        <v>6</v>
      </c>
      <c r="F459">
        <v>5</v>
      </c>
      <c r="G459" t="s">
        <v>1044</v>
      </c>
      <c r="H459">
        <f>_xlfn.XLOOKUP(D459, productos!$A$2:$A$150, productos!$D$2:$D$150, "No Encontrado", 0)</f>
        <v>13.54</v>
      </c>
      <c r="I459">
        <f t="shared" si="7"/>
        <v>81.239999999999995</v>
      </c>
    </row>
    <row r="460" spans="1:9" x14ac:dyDescent="0.25">
      <c r="A460">
        <v>938</v>
      </c>
      <c r="B460" s="1">
        <v>45337</v>
      </c>
      <c r="C460">
        <v>204</v>
      </c>
      <c r="D460">
        <v>1</v>
      </c>
      <c r="E460">
        <v>1</v>
      </c>
      <c r="F460">
        <v>4</v>
      </c>
      <c r="G460" t="s">
        <v>1044</v>
      </c>
      <c r="H460">
        <f>_xlfn.XLOOKUP(D460, productos!$A$2:$A$150, productos!$D$2:$D$150, "No Encontrado", 0)</f>
        <v>12.24</v>
      </c>
      <c r="I460">
        <f t="shared" si="7"/>
        <v>12.24</v>
      </c>
    </row>
    <row r="461" spans="1:9" x14ac:dyDescent="0.25">
      <c r="A461">
        <v>1700</v>
      </c>
      <c r="B461" s="1">
        <v>45337</v>
      </c>
      <c r="C461">
        <v>158</v>
      </c>
      <c r="D461">
        <v>33</v>
      </c>
      <c r="E461">
        <v>4</v>
      </c>
      <c r="F461">
        <v>4</v>
      </c>
      <c r="G461" t="s">
        <v>1044</v>
      </c>
      <c r="H461">
        <f>_xlfn.XLOOKUP(D461, productos!$A$2:$A$150, productos!$D$2:$D$150, "No Encontrado", 0)</f>
        <v>8.5399999999999991</v>
      </c>
      <c r="I461">
        <f t="shared" si="7"/>
        <v>34.159999999999997</v>
      </c>
    </row>
    <row r="462" spans="1:9" x14ac:dyDescent="0.25">
      <c r="A462">
        <v>1928</v>
      </c>
      <c r="B462" s="1">
        <v>45337</v>
      </c>
      <c r="C462">
        <v>310</v>
      </c>
      <c r="D462">
        <v>35</v>
      </c>
      <c r="E462">
        <v>1</v>
      </c>
      <c r="F462">
        <v>1</v>
      </c>
      <c r="G462" t="s">
        <v>1044</v>
      </c>
      <c r="H462">
        <f>_xlfn.XLOOKUP(D462, productos!$A$2:$A$150, productos!$D$2:$D$150, "No Encontrado", 0)</f>
        <v>4.25</v>
      </c>
      <c r="I462">
        <f t="shared" si="7"/>
        <v>4.25</v>
      </c>
    </row>
    <row r="463" spans="1:9" x14ac:dyDescent="0.25">
      <c r="A463">
        <v>2214</v>
      </c>
      <c r="B463" s="1">
        <v>45337</v>
      </c>
      <c r="C463">
        <v>187</v>
      </c>
      <c r="D463">
        <v>7</v>
      </c>
      <c r="E463">
        <v>5</v>
      </c>
      <c r="F463">
        <v>5</v>
      </c>
      <c r="G463" t="s">
        <v>1044</v>
      </c>
      <c r="H463">
        <f>_xlfn.XLOOKUP(D463, productos!$A$2:$A$150, productos!$D$2:$D$150, "No Encontrado", 0)</f>
        <v>11.25</v>
      </c>
      <c r="I463">
        <f t="shared" si="7"/>
        <v>56.25</v>
      </c>
    </row>
    <row r="464" spans="1:9" x14ac:dyDescent="0.25">
      <c r="A464">
        <v>2238</v>
      </c>
      <c r="B464" s="1">
        <v>45337</v>
      </c>
      <c r="C464">
        <v>231</v>
      </c>
      <c r="D464">
        <v>12</v>
      </c>
      <c r="E464">
        <v>3</v>
      </c>
      <c r="F464">
        <v>4</v>
      </c>
      <c r="G464" t="s">
        <v>1044</v>
      </c>
      <c r="H464">
        <f>_xlfn.XLOOKUP(D464, productos!$A$2:$A$150, productos!$D$2:$D$150, "No Encontrado", 0)</f>
        <v>8.1199999999999992</v>
      </c>
      <c r="I464">
        <f t="shared" si="7"/>
        <v>24.36</v>
      </c>
    </row>
    <row r="465" spans="1:9" x14ac:dyDescent="0.25">
      <c r="A465">
        <v>2481</v>
      </c>
      <c r="B465" s="1">
        <v>45337</v>
      </c>
      <c r="C465">
        <v>166</v>
      </c>
      <c r="D465">
        <v>4</v>
      </c>
      <c r="E465">
        <v>2</v>
      </c>
      <c r="F465">
        <v>5</v>
      </c>
      <c r="G465" t="s">
        <v>1045</v>
      </c>
      <c r="H465">
        <f>_xlfn.XLOOKUP(D465, productos!$A$2:$A$150, productos!$D$2:$D$150, "No Encontrado", 0)</f>
        <v>19.23</v>
      </c>
      <c r="I465">
        <f t="shared" si="7"/>
        <v>38.46</v>
      </c>
    </row>
    <row r="466" spans="1:9" x14ac:dyDescent="0.25">
      <c r="A466">
        <v>2604</v>
      </c>
      <c r="B466" s="1">
        <v>45337</v>
      </c>
      <c r="C466">
        <v>319</v>
      </c>
      <c r="D466">
        <v>23</v>
      </c>
      <c r="E466">
        <v>1</v>
      </c>
      <c r="F466">
        <v>5</v>
      </c>
      <c r="G466" t="s">
        <v>1044</v>
      </c>
      <c r="H466">
        <f>_xlfn.XLOOKUP(D466, productos!$A$2:$A$150, productos!$D$2:$D$150, "No Encontrado", 0)</f>
        <v>8.23</v>
      </c>
      <c r="I466">
        <f t="shared" si="7"/>
        <v>8.23</v>
      </c>
    </row>
    <row r="467" spans="1:9" x14ac:dyDescent="0.25">
      <c r="A467">
        <v>481</v>
      </c>
      <c r="B467" s="1">
        <v>45338</v>
      </c>
      <c r="C467">
        <v>109</v>
      </c>
      <c r="D467">
        <v>19</v>
      </c>
      <c r="E467">
        <v>3</v>
      </c>
      <c r="F467">
        <v>3</v>
      </c>
      <c r="G467" t="s">
        <v>1044</v>
      </c>
      <c r="H467">
        <f>_xlfn.XLOOKUP(D467, productos!$A$2:$A$150, productos!$D$2:$D$150, "No Encontrado", 0)</f>
        <v>6.54</v>
      </c>
      <c r="I467">
        <f t="shared" si="7"/>
        <v>19.62</v>
      </c>
    </row>
    <row r="468" spans="1:9" x14ac:dyDescent="0.25">
      <c r="A468">
        <v>641</v>
      </c>
      <c r="B468" s="1">
        <v>45338</v>
      </c>
      <c r="C468">
        <v>184</v>
      </c>
      <c r="D468">
        <v>17</v>
      </c>
      <c r="E468">
        <v>5</v>
      </c>
      <c r="F468">
        <v>5</v>
      </c>
      <c r="G468" t="s">
        <v>1044</v>
      </c>
      <c r="H468">
        <f>_xlfn.XLOOKUP(D468, productos!$A$2:$A$150, productos!$D$2:$D$150, "No Encontrado", 0)</f>
        <v>6.54</v>
      </c>
      <c r="I468">
        <f t="shared" si="7"/>
        <v>32.700000000000003</v>
      </c>
    </row>
    <row r="469" spans="1:9" x14ac:dyDescent="0.25">
      <c r="A469">
        <v>735</v>
      </c>
      <c r="B469" s="1">
        <v>45338</v>
      </c>
      <c r="C469">
        <v>183</v>
      </c>
      <c r="D469">
        <v>20</v>
      </c>
      <c r="E469">
        <v>2</v>
      </c>
      <c r="F469">
        <v>1</v>
      </c>
      <c r="G469" t="s">
        <v>1044</v>
      </c>
      <c r="H469">
        <f>_xlfn.XLOOKUP(D469, productos!$A$2:$A$150, productos!$D$2:$D$150, "No Encontrado", 0)</f>
        <v>4.25</v>
      </c>
      <c r="I469">
        <f t="shared" si="7"/>
        <v>8.5</v>
      </c>
    </row>
    <row r="470" spans="1:9" x14ac:dyDescent="0.25">
      <c r="A470">
        <v>779</v>
      </c>
      <c r="B470" s="1">
        <v>45338</v>
      </c>
      <c r="C470">
        <v>252</v>
      </c>
      <c r="D470">
        <v>14</v>
      </c>
      <c r="E470">
        <v>2</v>
      </c>
      <c r="F470">
        <v>3</v>
      </c>
      <c r="G470" t="s">
        <v>1044</v>
      </c>
      <c r="H470">
        <f>_xlfn.XLOOKUP(D470, productos!$A$2:$A$150, productos!$D$2:$D$150, "No Encontrado", 0)</f>
        <v>12.36</v>
      </c>
      <c r="I470">
        <f t="shared" si="7"/>
        <v>24.72</v>
      </c>
    </row>
    <row r="471" spans="1:9" x14ac:dyDescent="0.25">
      <c r="A471">
        <v>1174</v>
      </c>
      <c r="B471" s="1">
        <v>45338</v>
      </c>
      <c r="C471">
        <v>286</v>
      </c>
      <c r="D471">
        <v>14</v>
      </c>
      <c r="E471">
        <v>1</v>
      </c>
      <c r="F471">
        <v>1</v>
      </c>
      <c r="G471" t="s">
        <v>1044</v>
      </c>
      <c r="H471">
        <f>_xlfn.XLOOKUP(D471, productos!$A$2:$A$150, productos!$D$2:$D$150, "No Encontrado", 0)</f>
        <v>12.36</v>
      </c>
      <c r="I471">
        <f t="shared" si="7"/>
        <v>12.36</v>
      </c>
    </row>
    <row r="472" spans="1:9" x14ac:dyDescent="0.25">
      <c r="A472">
        <v>1253</v>
      </c>
      <c r="B472" s="1">
        <v>45338</v>
      </c>
      <c r="C472">
        <v>50</v>
      </c>
      <c r="D472">
        <v>13</v>
      </c>
      <c r="E472">
        <v>1</v>
      </c>
      <c r="F472">
        <v>2</v>
      </c>
      <c r="G472" t="s">
        <v>1044</v>
      </c>
      <c r="H472">
        <f>_xlfn.XLOOKUP(D472, productos!$A$2:$A$150, productos!$D$2:$D$150, "No Encontrado", 0)</f>
        <v>12.56</v>
      </c>
      <c r="I472">
        <f t="shared" si="7"/>
        <v>12.56</v>
      </c>
    </row>
    <row r="473" spans="1:9" x14ac:dyDescent="0.25">
      <c r="A473">
        <v>1263</v>
      </c>
      <c r="B473" s="1">
        <v>45338</v>
      </c>
      <c r="C473">
        <v>48</v>
      </c>
      <c r="D473">
        <v>38</v>
      </c>
      <c r="E473">
        <v>5</v>
      </c>
      <c r="F473">
        <v>3</v>
      </c>
      <c r="G473" t="s">
        <v>1044</v>
      </c>
      <c r="H473">
        <f>_xlfn.XLOOKUP(D473, productos!$A$2:$A$150, productos!$D$2:$D$150, "No Encontrado", 0)</f>
        <v>6.21</v>
      </c>
      <c r="I473">
        <f t="shared" si="7"/>
        <v>31.05</v>
      </c>
    </row>
    <row r="474" spans="1:9" x14ac:dyDescent="0.25">
      <c r="A474">
        <v>1479</v>
      </c>
      <c r="B474" s="1">
        <v>45338</v>
      </c>
      <c r="C474">
        <v>211</v>
      </c>
      <c r="D474">
        <v>33</v>
      </c>
      <c r="E474">
        <v>1</v>
      </c>
      <c r="F474">
        <v>1</v>
      </c>
      <c r="G474" t="s">
        <v>1044</v>
      </c>
      <c r="H474">
        <f>_xlfn.XLOOKUP(D474, productos!$A$2:$A$150, productos!$D$2:$D$150, "No Encontrado", 0)</f>
        <v>8.5399999999999991</v>
      </c>
      <c r="I474">
        <f t="shared" si="7"/>
        <v>8.5399999999999991</v>
      </c>
    </row>
    <row r="475" spans="1:9" x14ac:dyDescent="0.25">
      <c r="A475">
        <v>2323</v>
      </c>
      <c r="B475" s="1">
        <v>45338</v>
      </c>
      <c r="C475">
        <v>98</v>
      </c>
      <c r="D475">
        <v>25</v>
      </c>
      <c r="E475">
        <v>3</v>
      </c>
      <c r="F475">
        <v>3</v>
      </c>
      <c r="G475" t="s">
        <v>1044</v>
      </c>
      <c r="H475">
        <f>_xlfn.XLOOKUP(D475, productos!$A$2:$A$150, productos!$D$2:$D$150, "No Encontrado", 0)</f>
        <v>15.45</v>
      </c>
      <c r="I475">
        <f t="shared" si="7"/>
        <v>46.349999999999994</v>
      </c>
    </row>
    <row r="476" spans="1:9" x14ac:dyDescent="0.25">
      <c r="A476">
        <v>2362</v>
      </c>
      <c r="B476" s="1">
        <v>45338</v>
      </c>
      <c r="C476">
        <v>109</v>
      </c>
      <c r="D476">
        <v>36</v>
      </c>
      <c r="E476">
        <v>6</v>
      </c>
      <c r="F476">
        <v>1</v>
      </c>
      <c r="G476" t="s">
        <v>1044</v>
      </c>
      <c r="H476">
        <f>_xlfn.XLOOKUP(D476, productos!$A$2:$A$150, productos!$D$2:$D$150, "No Encontrado", 0)</f>
        <v>3.25</v>
      </c>
      <c r="I476">
        <f t="shared" si="7"/>
        <v>19.5</v>
      </c>
    </row>
    <row r="477" spans="1:9" x14ac:dyDescent="0.25">
      <c r="A477">
        <v>2771</v>
      </c>
      <c r="B477" s="1">
        <v>45338</v>
      </c>
      <c r="C477">
        <v>39</v>
      </c>
      <c r="D477">
        <v>7</v>
      </c>
      <c r="E477">
        <v>2</v>
      </c>
      <c r="F477">
        <v>3</v>
      </c>
      <c r="G477" t="s">
        <v>1044</v>
      </c>
      <c r="H477">
        <f>_xlfn.XLOOKUP(D477, productos!$A$2:$A$150, productos!$D$2:$D$150, "No Encontrado", 0)</f>
        <v>11.25</v>
      </c>
      <c r="I477">
        <f t="shared" si="7"/>
        <v>22.5</v>
      </c>
    </row>
    <row r="478" spans="1:9" x14ac:dyDescent="0.25">
      <c r="A478">
        <v>2937</v>
      </c>
      <c r="B478" s="1">
        <v>45338</v>
      </c>
      <c r="C478">
        <v>124</v>
      </c>
      <c r="D478">
        <v>3</v>
      </c>
      <c r="E478">
        <v>3</v>
      </c>
      <c r="F478">
        <v>2</v>
      </c>
      <c r="G478" t="s">
        <v>1044</v>
      </c>
      <c r="H478">
        <f>_xlfn.XLOOKUP(D478, productos!$A$2:$A$150, productos!$D$2:$D$150, "No Encontrado", 0)</f>
        <v>17.23</v>
      </c>
      <c r="I478">
        <f t="shared" si="7"/>
        <v>51.69</v>
      </c>
    </row>
    <row r="479" spans="1:9" x14ac:dyDescent="0.25">
      <c r="A479">
        <v>386</v>
      </c>
      <c r="B479" s="1">
        <v>45339</v>
      </c>
      <c r="C479">
        <v>250</v>
      </c>
      <c r="D479">
        <v>32</v>
      </c>
      <c r="E479">
        <v>6</v>
      </c>
      <c r="F479">
        <v>5</v>
      </c>
      <c r="G479" t="s">
        <v>1045</v>
      </c>
      <c r="H479">
        <f>_xlfn.XLOOKUP(D479, productos!$A$2:$A$150, productos!$D$2:$D$150, "No Encontrado", 0)</f>
        <v>6.25</v>
      </c>
      <c r="I479">
        <f t="shared" si="7"/>
        <v>37.5</v>
      </c>
    </row>
    <row r="480" spans="1:9" x14ac:dyDescent="0.25">
      <c r="A480">
        <v>572</v>
      </c>
      <c r="B480" s="1">
        <v>45339</v>
      </c>
      <c r="C480">
        <v>95</v>
      </c>
      <c r="D480">
        <v>18</v>
      </c>
      <c r="E480">
        <v>5</v>
      </c>
      <c r="F480">
        <v>1</v>
      </c>
      <c r="G480" t="s">
        <v>1044</v>
      </c>
      <c r="H480">
        <f>_xlfn.XLOOKUP(D480, productos!$A$2:$A$150, productos!$D$2:$D$150, "No Encontrado", 0)</f>
        <v>7.25</v>
      </c>
      <c r="I480">
        <f t="shared" si="7"/>
        <v>36.25</v>
      </c>
    </row>
    <row r="481" spans="1:9" x14ac:dyDescent="0.25">
      <c r="A481">
        <v>812</v>
      </c>
      <c r="B481" s="1">
        <v>45339</v>
      </c>
      <c r="C481">
        <v>280</v>
      </c>
      <c r="D481">
        <v>7</v>
      </c>
      <c r="E481">
        <v>4</v>
      </c>
      <c r="F481">
        <v>3</v>
      </c>
      <c r="G481" t="s">
        <v>1044</v>
      </c>
      <c r="H481">
        <f>_xlfn.XLOOKUP(D481, productos!$A$2:$A$150, productos!$D$2:$D$150, "No Encontrado", 0)</f>
        <v>11.25</v>
      </c>
      <c r="I481">
        <f t="shared" si="7"/>
        <v>45</v>
      </c>
    </row>
    <row r="482" spans="1:9" x14ac:dyDescent="0.25">
      <c r="A482">
        <v>1079</v>
      </c>
      <c r="B482" s="1">
        <v>45339</v>
      </c>
      <c r="C482">
        <v>8</v>
      </c>
      <c r="D482">
        <v>31</v>
      </c>
      <c r="E482">
        <v>6</v>
      </c>
      <c r="F482">
        <v>3</v>
      </c>
      <c r="G482" t="s">
        <v>1044</v>
      </c>
      <c r="H482">
        <f>_xlfn.XLOOKUP(D482, productos!$A$2:$A$150, productos!$D$2:$D$150, "No Encontrado", 0)</f>
        <v>5.24</v>
      </c>
      <c r="I482">
        <f t="shared" si="7"/>
        <v>31.44</v>
      </c>
    </row>
    <row r="483" spans="1:9" x14ac:dyDescent="0.25">
      <c r="A483">
        <v>1095</v>
      </c>
      <c r="B483" s="1">
        <v>45339</v>
      </c>
      <c r="C483">
        <v>326</v>
      </c>
      <c r="D483">
        <v>2</v>
      </c>
      <c r="E483">
        <v>5</v>
      </c>
      <c r="F483">
        <v>5</v>
      </c>
      <c r="G483" t="s">
        <v>1045</v>
      </c>
      <c r="H483">
        <f>_xlfn.XLOOKUP(D483, productos!$A$2:$A$150, productos!$D$2:$D$150, "No Encontrado", 0)</f>
        <v>5.21</v>
      </c>
      <c r="I483">
        <f t="shared" si="7"/>
        <v>26.05</v>
      </c>
    </row>
    <row r="484" spans="1:9" x14ac:dyDescent="0.25">
      <c r="A484">
        <v>1842</v>
      </c>
      <c r="B484" s="1">
        <v>45339</v>
      </c>
      <c r="C484">
        <v>224</v>
      </c>
      <c r="D484">
        <v>29</v>
      </c>
      <c r="E484">
        <v>2</v>
      </c>
      <c r="F484">
        <v>1</v>
      </c>
      <c r="G484" t="s">
        <v>1044</v>
      </c>
      <c r="H484">
        <f>_xlfn.XLOOKUP(D484, productos!$A$2:$A$150, productos!$D$2:$D$150, "No Encontrado", 0)</f>
        <v>11.54</v>
      </c>
      <c r="I484">
        <f t="shared" si="7"/>
        <v>23.08</v>
      </c>
    </row>
    <row r="485" spans="1:9" x14ac:dyDescent="0.25">
      <c r="A485">
        <v>1863</v>
      </c>
      <c r="B485" s="1">
        <v>45339</v>
      </c>
      <c r="C485">
        <v>46</v>
      </c>
      <c r="D485">
        <v>26</v>
      </c>
      <c r="E485">
        <v>5</v>
      </c>
      <c r="F485">
        <v>4</v>
      </c>
      <c r="G485" t="s">
        <v>1044</v>
      </c>
      <c r="H485">
        <f>_xlfn.XLOOKUP(D485, productos!$A$2:$A$150, productos!$D$2:$D$150, "No Encontrado", 0)</f>
        <v>9.5399999999999991</v>
      </c>
      <c r="I485">
        <f t="shared" si="7"/>
        <v>47.699999999999996</v>
      </c>
    </row>
    <row r="486" spans="1:9" x14ac:dyDescent="0.25">
      <c r="A486">
        <v>2045</v>
      </c>
      <c r="B486" s="1">
        <v>45339</v>
      </c>
      <c r="C486">
        <v>97</v>
      </c>
      <c r="D486">
        <v>8</v>
      </c>
      <c r="E486">
        <v>3</v>
      </c>
      <c r="F486">
        <v>4</v>
      </c>
      <c r="G486" t="s">
        <v>1044</v>
      </c>
      <c r="H486">
        <f>_xlfn.XLOOKUP(D486, productos!$A$2:$A$150, productos!$D$2:$D$150, "No Encontrado", 0)</f>
        <v>16.21</v>
      </c>
      <c r="I486">
        <f t="shared" si="7"/>
        <v>48.63</v>
      </c>
    </row>
    <row r="487" spans="1:9" x14ac:dyDescent="0.25">
      <c r="A487">
        <v>2375</v>
      </c>
      <c r="B487" s="1">
        <v>45339</v>
      </c>
      <c r="C487">
        <v>82</v>
      </c>
      <c r="D487">
        <v>38</v>
      </c>
      <c r="E487">
        <v>1</v>
      </c>
      <c r="F487">
        <v>3</v>
      </c>
      <c r="G487" t="s">
        <v>1044</v>
      </c>
      <c r="H487">
        <f>_xlfn.XLOOKUP(D487, productos!$A$2:$A$150, productos!$D$2:$D$150, "No Encontrado", 0)</f>
        <v>6.21</v>
      </c>
      <c r="I487">
        <f t="shared" si="7"/>
        <v>6.21</v>
      </c>
    </row>
    <row r="488" spans="1:9" x14ac:dyDescent="0.25">
      <c r="A488">
        <v>2634</v>
      </c>
      <c r="B488" s="1">
        <v>45339</v>
      </c>
      <c r="C488">
        <v>31</v>
      </c>
      <c r="D488">
        <v>15</v>
      </c>
      <c r="E488">
        <v>6</v>
      </c>
      <c r="F488">
        <v>5</v>
      </c>
      <c r="G488" t="s">
        <v>1044</v>
      </c>
      <c r="H488">
        <f>_xlfn.XLOOKUP(D488, productos!$A$2:$A$150, productos!$D$2:$D$150, "No Encontrado", 0)</f>
        <v>3.51</v>
      </c>
      <c r="I488">
        <f t="shared" si="7"/>
        <v>21.06</v>
      </c>
    </row>
    <row r="489" spans="1:9" x14ac:dyDescent="0.25">
      <c r="A489">
        <v>434</v>
      </c>
      <c r="B489" s="1">
        <v>45340</v>
      </c>
      <c r="C489">
        <v>90</v>
      </c>
      <c r="D489">
        <v>23</v>
      </c>
      <c r="E489">
        <v>1</v>
      </c>
      <c r="F489">
        <v>5</v>
      </c>
      <c r="G489" t="s">
        <v>1044</v>
      </c>
      <c r="H489">
        <f>_xlfn.XLOOKUP(D489, productos!$A$2:$A$150, productos!$D$2:$D$150, "No Encontrado", 0)</f>
        <v>8.23</v>
      </c>
      <c r="I489">
        <f t="shared" si="7"/>
        <v>8.23</v>
      </c>
    </row>
    <row r="490" spans="1:9" x14ac:dyDescent="0.25">
      <c r="A490">
        <v>539</v>
      </c>
      <c r="B490" s="1">
        <v>45340</v>
      </c>
      <c r="C490">
        <v>274</v>
      </c>
      <c r="D490">
        <v>14</v>
      </c>
      <c r="E490">
        <v>2</v>
      </c>
      <c r="F490">
        <v>5</v>
      </c>
      <c r="G490" t="s">
        <v>1044</v>
      </c>
      <c r="H490">
        <f>_xlfn.XLOOKUP(D490, productos!$A$2:$A$150, productos!$D$2:$D$150, "No Encontrado", 0)</f>
        <v>12.36</v>
      </c>
      <c r="I490">
        <f t="shared" si="7"/>
        <v>24.72</v>
      </c>
    </row>
    <row r="491" spans="1:9" x14ac:dyDescent="0.25">
      <c r="A491">
        <v>801</v>
      </c>
      <c r="B491" s="1">
        <v>45340</v>
      </c>
      <c r="C491">
        <v>37</v>
      </c>
      <c r="D491">
        <v>27</v>
      </c>
      <c r="E491">
        <v>3</v>
      </c>
      <c r="F491">
        <v>1</v>
      </c>
      <c r="G491" t="s">
        <v>1044</v>
      </c>
      <c r="H491">
        <f>_xlfn.XLOOKUP(D491, productos!$A$2:$A$150, productos!$D$2:$D$150, "No Encontrado", 0)</f>
        <v>6.21</v>
      </c>
      <c r="I491">
        <f t="shared" si="7"/>
        <v>18.63</v>
      </c>
    </row>
    <row r="492" spans="1:9" x14ac:dyDescent="0.25">
      <c r="A492">
        <v>1007</v>
      </c>
      <c r="B492" s="1">
        <v>45340</v>
      </c>
      <c r="C492">
        <v>77</v>
      </c>
      <c r="D492">
        <v>11</v>
      </c>
      <c r="E492">
        <v>6</v>
      </c>
      <c r="F492">
        <v>5</v>
      </c>
      <c r="G492" t="s">
        <v>1044</v>
      </c>
      <c r="H492">
        <f>_xlfn.XLOOKUP(D492, productos!$A$2:$A$150, productos!$D$2:$D$150, "No Encontrado", 0)</f>
        <v>11.23</v>
      </c>
      <c r="I492">
        <f t="shared" si="7"/>
        <v>67.38</v>
      </c>
    </row>
    <row r="493" spans="1:9" x14ac:dyDescent="0.25">
      <c r="A493">
        <v>1181</v>
      </c>
      <c r="B493" s="1">
        <v>45340</v>
      </c>
      <c r="C493">
        <v>171</v>
      </c>
      <c r="D493">
        <v>17</v>
      </c>
      <c r="E493">
        <v>4</v>
      </c>
      <c r="F493">
        <v>4</v>
      </c>
      <c r="G493" t="s">
        <v>1044</v>
      </c>
      <c r="H493">
        <f>_xlfn.XLOOKUP(D493, productos!$A$2:$A$150, productos!$D$2:$D$150, "No Encontrado", 0)</f>
        <v>6.54</v>
      </c>
      <c r="I493">
        <f t="shared" si="7"/>
        <v>26.16</v>
      </c>
    </row>
    <row r="494" spans="1:9" x14ac:dyDescent="0.25">
      <c r="A494">
        <v>1625</v>
      </c>
      <c r="B494" s="1">
        <v>45340</v>
      </c>
      <c r="C494">
        <v>145</v>
      </c>
      <c r="D494">
        <v>38</v>
      </c>
      <c r="E494">
        <v>4</v>
      </c>
      <c r="F494">
        <v>3</v>
      </c>
      <c r="G494" t="s">
        <v>1044</v>
      </c>
      <c r="H494">
        <f>_xlfn.XLOOKUP(D494, productos!$A$2:$A$150, productos!$D$2:$D$150, "No Encontrado", 0)</f>
        <v>6.21</v>
      </c>
      <c r="I494">
        <f t="shared" si="7"/>
        <v>24.84</v>
      </c>
    </row>
    <row r="495" spans="1:9" x14ac:dyDescent="0.25">
      <c r="A495">
        <v>1983</v>
      </c>
      <c r="B495" s="1">
        <v>45340</v>
      </c>
      <c r="C495">
        <v>63</v>
      </c>
      <c r="D495">
        <v>27</v>
      </c>
      <c r="E495">
        <v>4</v>
      </c>
      <c r="F495">
        <v>5</v>
      </c>
      <c r="G495" t="s">
        <v>1044</v>
      </c>
      <c r="H495">
        <f>_xlfn.XLOOKUP(D495, productos!$A$2:$A$150, productos!$D$2:$D$150, "No Encontrado", 0)</f>
        <v>6.21</v>
      </c>
      <c r="I495">
        <f t="shared" si="7"/>
        <v>24.84</v>
      </c>
    </row>
    <row r="496" spans="1:9" x14ac:dyDescent="0.25">
      <c r="A496">
        <v>2409</v>
      </c>
      <c r="B496" s="1">
        <v>45340</v>
      </c>
      <c r="C496">
        <v>252</v>
      </c>
      <c r="D496">
        <v>15</v>
      </c>
      <c r="E496">
        <v>4</v>
      </c>
      <c r="F496">
        <v>5</v>
      </c>
      <c r="G496" t="s">
        <v>1044</v>
      </c>
      <c r="H496">
        <f>_xlfn.XLOOKUP(D496, productos!$A$2:$A$150, productos!$D$2:$D$150, "No Encontrado", 0)</f>
        <v>3.51</v>
      </c>
      <c r="I496">
        <f t="shared" si="7"/>
        <v>14.04</v>
      </c>
    </row>
    <row r="497" spans="1:9" x14ac:dyDescent="0.25">
      <c r="A497">
        <v>2964</v>
      </c>
      <c r="B497" s="1">
        <v>45340</v>
      </c>
      <c r="C497">
        <v>269</v>
      </c>
      <c r="D497">
        <v>7</v>
      </c>
      <c r="E497">
        <v>2</v>
      </c>
      <c r="F497">
        <v>1</v>
      </c>
      <c r="G497" t="s">
        <v>1044</v>
      </c>
      <c r="H497">
        <f>_xlfn.XLOOKUP(D497, productos!$A$2:$A$150, productos!$D$2:$D$150, "No Encontrado", 0)</f>
        <v>11.25</v>
      </c>
      <c r="I497">
        <f t="shared" si="7"/>
        <v>22.5</v>
      </c>
    </row>
    <row r="498" spans="1:9" x14ac:dyDescent="0.25">
      <c r="A498">
        <v>447</v>
      </c>
      <c r="B498" s="1">
        <v>45341</v>
      </c>
      <c r="C498">
        <v>249</v>
      </c>
      <c r="D498">
        <v>27</v>
      </c>
      <c r="E498">
        <v>5</v>
      </c>
      <c r="F498">
        <v>1</v>
      </c>
      <c r="G498" t="s">
        <v>1044</v>
      </c>
      <c r="H498">
        <f>_xlfn.XLOOKUP(D498, productos!$A$2:$A$150, productos!$D$2:$D$150, "No Encontrado", 0)</f>
        <v>6.21</v>
      </c>
      <c r="I498">
        <f t="shared" si="7"/>
        <v>31.05</v>
      </c>
    </row>
    <row r="499" spans="1:9" x14ac:dyDescent="0.25">
      <c r="A499">
        <v>454</v>
      </c>
      <c r="B499" s="1">
        <v>45341</v>
      </c>
      <c r="C499">
        <v>131</v>
      </c>
      <c r="D499">
        <v>13</v>
      </c>
      <c r="E499">
        <v>5</v>
      </c>
      <c r="F499">
        <v>4</v>
      </c>
      <c r="G499" t="s">
        <v>1044</v>
      </c>
      <c r="H499">
        <f>_xlfn.XLOOKUP(D499, productos!$A$2:$A$150, productos!$D$2:$D$150, "No Encontrado", 0)</f>
        <v>12.56</v>
      </c>
      <c r="I499">
        <f t="shared" si="7"/>
        <v>62.800000000000004</v>
      </c>
    </row>
    <row r="500" spans="1:9" x14ac:dyDescent="0.25">
      <c r="A500">
        <v>1332</v>
      </c>
      <c r="B500" s="1">
        <v>45341</v>
      </c>
      <c r="C500">
        <v>1</v>
      </c>
      <c r="D500">
        <v>29</v>
      </c>
      <c r="E500">
        <v>4</v>
      </c>
      <c r="F500">
        <v>4</v>
      </c>
      <c r="G500" t="s">
        <v>1044</v>
      </c>
      <c r="H500">
        <f>_xlfn.XLOOKUP(D500, productos!$A$2:$A$150, productos!$D$2:$D$150, "No Encontrado", 0)</f>
        <v>11.54</v>
      </c>
      <c r="I500">
        <f t="shared" si="7"/>
        <v>46.16</v>
      </c>
    </row>
    <row r="501" spans="1:9" x14ac:dyDescent="0.25">
      <c r="A501">
        <v>1722</v>
      </c>
      <c r="B501" s="1">
        <v>45341</v>
      </c>
      <c r="C501">
        <v>266</v>
      </c>
      <c r="D501">
        <v>7</v>
      </c>
      <c r="E501">
        <v>3</v>
      </c>
      <c r="F501">
        <v>4</v>
      </c>
      <c r="G501" t="s">
        <v>1044</v>
      </c>
      <c r="H501">
        <f>_xlfn.XLOOKUP(D501, productos!$A$2:$A$150, productos!$D$2:$D$150, "No Encontrado", 0)</f>
        <v>11.25</v>
      </c>
      <c r="I501">
        <f t="shared" si="7"/>
        <v>33.75</v>
      </c>
    </row>
    <row r="502" spans="1:9" x14ac:dyDescent="0.25">
      <c r="A502">
        <v>2134</v>
      </c>
      <c r="B502" s="1">
        <v>45341</v>
      </c>
      <c r="C502">
        <v>116</v>
      </c>
      <c r="D502">
        <v>29</v>
      </c>
      <c r="E502">
        <v>5</v>
      </c>
      <c r="F502">
        <v>2</v>
      </c>
      <c r="G502" t="s">
        <v>1044</v>
      </c>
      <c r="H502">
        <f>_xlfn.XLOOKUP(D502, productos!$A$2:$A$150, productos!$D$2:$D$150, "No Encontrado", 0)</f>
        <v>11.54</v>
      </c>
      <c r="I502">
        <f t="shared" si="7"/>
        <v>57.699999999999996</v>
      </c>
    </row>
    <row r="503" spans="1:9" x14ac:dyDescent="0.25">
      <c r="A503">
        <v>2310</v>
      </c>
      <c r="B503" s="1">
        <v>45341</v>
      </c>
      <c r="C503">
        <v>139</v>
      </c>
      <c r="D503">
        <v>11</v>
      </c>
      <c r="E503">
        <v>2</v>
      </c>
      <c r="F503">
        <v>5</v>
      </c>
      <c r="G503" t="s">
        <v>1044</v>
      </c>
      <c r="H503">
        <f>_xlfn.XLOOKUP(D503, productos!$A$2:$A$150, productos!$D$2:$D$150, "No Encontrado", 0)</f>
        <v>11.23</v>
      </c>
      <c r="I503">
        <f t="shared" si="7"/>
        <v>22.46</v>
      </c>
    </row>
    <row r="504" spans="1:9" x14ac:dyDescent="0.25">
      <c r="A504">
        <v>2926</v>
      </c>
      <c r="B504" s="1">
        <v>45341</v>
      </c>
      <c r="C504">
        <v>210</v>
      </c>
      <c r="D504">
        <v>37</v>
      </c>
      <c r="E504">
        <v>2</v>
      </c>
      <c r="F504">
        <v>1</v>
      </c>
      <c r="G504" t="s">
        <v>1044</v>
      </c>
      <c r="H504">
        <f>_xlfn.XLOOKUP(D504, productos!$A$2:$A$150, productos!$D$2:$D$150, "No Encontrado", 0)</f>
        <v>3.65</v>
      </c>
      <c r="I504">
        <f t="shared" si="7"/>
        <v>7.3</v>
      </c>
    </row>
    <row r="505" spans="1:9" x14ac:dyDescent="0.25">
      <c r="A505">
        <v>2969</v>
      </c>
      <c r="B505" s="1">
        <v>45341</v>
      </c>
      <c r="C505">
        <v>128</v>
      </c>
      <c r="D505">
        <v>9</v>
      </c>
      <c r="E505">
        <v>1</v>
      </c>
      <c r="F505">
        <v>5</v>
      </c>
      <c r="G505" t="s">
        <v>1044</v>
      </c>
      <c r="H505">
        <f>_xlfn.XLOOKUP(D505, productos!$A$2:$A$150, productos!$D$2:$D$150, "No Encontrado", 0)</f>
        <v>18.559999999999999</v>
      </c>
      <c r="I505">
        <f t="shared" si="7"/>
        <v>18.559999999999999</v>
      </c>
    </row>
    <row r="506" spans="1:9" x14ac:dyDescent="0.25">
      <c r="A506">
        <v>979</v>
      </c>
      <c r="B506" s="1">
        <v>45342</v>
      </c>
      <c r="C506">
        <v>30</v>
      </c>
      <c r="D506">
        <v>29</v>
      </c>
      <c r="E506">
        <v>5</v>
      </c>
      <c r="F506">
        <v>1</v>
      </c>
      <c r="G506" t="s">
        <v>1044</v>
      </c>
      <c r="H506">
        <f>_xlfn.XLOOKUP(D506, productos!$A$2:$A$150, productos!$D$2:$D$150, "No Encontrado", 0)</f>
        <v>11.54</v>
      </c>
      <c r="I506">
        <f t="shared" si="7"/>
        <v>57.699999999999996</v>
      </c>
    </row>
    <row r="507" spans="1:9" x14ac:dyDescent="0.25">
      <c r="A507">
        <v>1633</v>
      </c>
      <c r="B507" s="1">
        <v>45342</v>
      </c>
      <c r="C507">
        <v>27</v>
      </c>
      <c r="D507">
        <v>11</v>
      </c>
      <c r="E507">
        <v>5</v>
      </c>
      <c r="F507">
        <v>4</v>
      </c>
      <c r="G507" t="s">
        <v>1044</v>
      </c>
      <c r="H507">
        <f>_xlfn.XLOOKUP(D507, productos!$A$2:$A$150, productos!$D$2:$D$150, "No Encontrado", 0)</f>
        <v>11.23</v>
      </c>
      <c r="I507">
        <f t="shared" si="7"/>
        <v>56.150000000000006</v>
      </c>
    </row>
    <row r="508" spans="1:9" x14ac:dyDescent="0.25">
      <c r="A508">
        <v>2176</v>
      </c>
      <c r="B508" s="1">
        <v>45342</v>
      </c>
      <c r="C508">
        <v>48</v>
      </c>
      <c r="D508">
        <v>12</v>
      </c>
      <c r="E508">
        <v>5</v>
      </c>
      <c r="F508">
        <v>1</v>
      </c>
      <c r="G508" t="s">
        <v>1044</v>
      </c>
      <c r="H508">
        <f>_xlfn.XLOOKUP(D508, productos!$A$2:$A$150, productos!$D$2:$D$150, "No Encontrado", 0)</f>
        <v>8.1199999999999992</v>
      </c>
      <c r="I508">
        <f t="shared" si="7"/>
        <v>40.599999999999994</v>
      </c>
    </row>
    <row r="509" spans="1:9" x14ac:dyDescent="0.25">
      <c r="A509">
        <v>2227</v>
      </c>
      <c r="B509" s="1">
        <v>45342</v>
      </c>
      <c r="C509">
        <v>239</v>
      </c>
      <c r="D509">
        <v>8</v>
      </c>
      <c r="E509">
        <v>4</v>
      </c>
      <c r="F509">
        <v>5</v>
      </c>
      <c r="G509" t="s">
        <v>1044</v>
      </c>
      <c r="H509">
        <f>_xlfn.XLOOKUP(D509, productos!$A$2:$A$150, productos!$D$2:$D$150, "No Encontrado", 0)</f>
        <v>16.21</v>
      </c>
      <c r="I509">
        <f t="shared" si="7"/>
        <v>64.84</v>
      </c>
    </row>
    <row r="510" spans="1:9" x14ac:dyDescent="0.25">
      <c r="A510">
        <v>2325</v>
      </c>
      <c r="B510" s="1">
        <v>45342</v>
      </c>
      <c r="C510">
        <v>13</v>
      </c>
      <c r="D510">
        <v>2</v>
      </c>
      <c r="E510">
        <v>4</v>
      </c>
      <c r="F510">
        <v>4</v>
      </c>
      <c r="G510" t="s">
        <v>1044</v>
      </c>
      <c r="H510">
        <f>_xlfn.XLOOKUP(D510, productos!$A$2:$A$150, productos!$D$2:$D$150, "No Encontrado", 0)</f>
        <v>5.21</v>
      </c>
      <c r="I510">
        <f t="shared" si="7"/>
        <v>20.84</v>
      </c>
    </row>
    <row r="511" spans="1:9" x14ac:dyDescent="0.25">
      <c r="A511">
        <v>2427</v>
      </c>
      <c r="B511" s="1">
        <v>45342</v>
      </c>
      <c r="C511">
        <v>57</v>
      </c>
      <c r="D511">
        <v>35</v>
      </c>
      <c r="E511">
        <v>2</v>
      </c>
      <c r="F511">
        <v>1</v>
      </c>
      <c r="G511" t="s">
        <v>1044</v>
      </c>
      <c r="H511">
        <f>_xlfn.XLOOKUP(D511, productos!$A$2:$A$150, productos!$D$2:$D$150, "No Encontrado", 0)</f>
        <v>4.25</v>
      </c>
      <c r="I511">
        <f t="shared" si="7"/>
        <v>8.5</v>
      </c>
    </row>
    <row r="512" spans="1:9" x14ac:dyDescent="0.25">
      <c r="A512">
        <v>2929</v>
      </c>
      <c r="B512" s="1">
        <v>45342</v>
      </c>
      <c r="C512">
        <v>28</v>
      </c>
      <c r="D512">
        <v>11</v>
      </c>
      <c r="E512">
        <v>1</v>
      </c>
      <c r="F512">
        <v>3</v>
      </c>
      <c r="G512" t="s">
        <v>1044</v>
      </c>
      <c r="H512">
        <f>_xlfn.XLOOKUP(D512, productos!$A$2:$A$150, productos!$D$2:$D$150, "No Encontrado", 0)</f>
        <v>11.23</v>
      </c>
      <c r="I512">
        <f t="shared" si="7"/>
        <v>11.23</v>
      </c>
    </row>
    <row r="513" spans="1:9" x14ac:dyDescent="0.25">
      <c r="A513">
        <v>851</v>
      </c>
      <c r="B513" s="1">
        <v>45343</v>
      </c>
      <c r="C513">
        <v>13</v>
      </c>
      <c r="D513">
        <v>14</v>
      </c>
      <c r="E513">
        <v>2</v>
      </c>
      <c r="F513">
        <v>4</v>
      </c>
      <c r="G513" t="s">
        <v>1044</v>
      </c>
      <c r="H513">
        <f>_xlfn.XLOOKUP(D513, productos!$A$2:$A$150, productos!$D$2:$D$150, "No Encontrado", 0)</f>
        <v>12.36</v>
      </c>
      <c r="I513">
        <f t="shared" si="7"/>
        <v>24.72</v>
      </c>
    </row>
    <row r="514" spans="1:9" x14ac:dyDescent="0.25">
      <c r="A514">
        <v>986</v>
      </c>
      <c r="B514" s="1">
        <v>45343</v>
      </c>
      <c r="C514">
        <v>273</v>
      </c>
      <c r="D514">
        <v>7</v>
      </c>
      <c r="E514">
        <v>4</v>
      </c>
      <c r="F514">
        <v>1</v>
      </c>
      <c r="G514" t="s">
        <v>1044</v>
      </c>
      <c r="H514">
        <f>_xlfn.XLOOKUP(D514, productos!$A$2:$A$150, productos!$D$2:$D$150, "No Encontrado", 0)</f>
        <v>11.25</v>
      </c>
      <c r="I514">
        <f t="shared" si="7"/>
        <v>45</v>
      </c>
    </row>
    <row r="515" spans="1:9" x14ac:dyDescent="0.25">
      <c r="A515">
        <v>1041</v>
      </c>
      <c r="B515" s="1">
        <v>45343</v>
      </c>
      <c r="C515">
        <v>312</v>
      </c>
      <c r="D515">
        <v>9</v>
      </c>
      <c r="E515">
        <v>3</v>
      </c>
      <c r="F515">
        <v>3</v>
      </c>
      <c r="G515" t="s">
        <v>1044</v>
      </c>
      <c r="H515">
        <f>_xlfn.XLOOKUP(D515, productos!$A$2:$A$150, productos!$D$2:$D$150, "No Encontrado", 0)</f>
        <v>18.559999999999999</v>
      </c>
      <c r="I515">
        <f t="shared" ref="I515:I578" si="8">E515*H515</f>
        <v>55.679999999999993</v>
      </c>
    </row>
    <row r="516" spans="1:9" x14ac:dyDescent="0.25">
      <c r="A516">
        <v>2560</v>
      </c>
      <c r="B516" s="1">
        <v>45343</v>
      </c>
      <c r="C516">
        <v>249</v>
      </c>
      <c r="D516">
        <v>33</v>
      </c>
      <c r="E516">
        <v>3</v>
      </c>
      <c r="F516">
        <v>5</v>
      </c>
      <c r="G516" t="s">
        <v>1044</v>
      </c>
      <c r="H516">
        <f>_xlfn.XLOOKUP(D516, productos!$A$2:$A$150, productos!$D$2:$D$150, "No Encontrado", 0)</f>
        <v>8.5399999999999991</v>
      </c>
      <c r="I516">
        <f t="shared" si="8"/>
        <v>25.619999999999997</v>
      </c>
    </row>
    <row r="517" spans="1:9" x14ac:dyDescent="0.25">
      <c r="A517">
        <v>2751</v>
      </c>
      <c r="B517" s="1">
        <v>45343</v>
      </c>
      <c r="C517">
        <v>19</v>
      </c>
      <c r="D517">
        <v>2</v>
      </c>
      <c r="E517">
        <v>5</v>
      </c>
      <c r="F517">
        <v>4</v>
      </c>
      <c r="G517" t="s">
        <v>1044</v>
      </c>
      <c r="H517">
        <f>_xlfn.XLOOKUP(D517, productos!$A$2:$A$150, productos!$D$2:$D$150, "No Encontrado", 0)</f>
        <v>5.21</v>
      </c>
      <c r="I517">
        <f t="shared" si="8"/>
        <v>26.05</v>
      </c>
    </row>
    <row r="518" spans="1:9" x14ac:dyDescent="0.25">
      <c r="A518">
        <v>2905</v>
      </c>
      <c r="B518" s="1">
        <v>45343</v>
      </c>
      <c r="C518">
        <v>226</v>
      </c>
      <c r="D518">
        <v>5</v>
      </c>
      <c r="E518">
        <v>4</v>
      </c>
      <c r="F518">
        <v>4</v>
      </c>
      <c r="G518" t="s">
        <v>1044</v>
      </c>
      <c r="H518">
        <f>_xlfn.XLOOKUP(D518, productos!$A$2:$A$150, productos!$D$2:$D$150, "No Encontrado", 0)</f>
        <v>5.65</v>
      </c>
      <c r="I518">
        <f t="shared" si="8"/>
        <v>22.6</v>
      </c>
    </row>
    <row r="519" spans="1:9" x14ac:dyDescent="0.25">
      <c r="A519">
        <v>338</v>
      </c>
      <c r="B519" s="1">
        <v>45344</v>
      </c>
      <c r="C519">
        <v>103</v>
      </c>
      <c r="D519">
        <v>12</v>
      </c>
      <c r="E519">
        <v>2</v>
      </c>
      <c r="F519">
        <v>3</v>
      </c>
      <c r="G519" t="s">
        <v>1044</v>
      </c>
      <c r="H519">
        <f>_xlfn.XLOOKUP(D519, productos!$A$2:$A$150, productos!$D$2:$D$150, "No Encontrado", 0)</f>
        <v>8.1199999999999992</v>
      </c>
      <c r="I519">
        <f t="shared" si="8"/>
        <v>16.239999999999998</v>
      </c>
    </row>
    <row r="520" spans="1:9" x14ac:dyDescent="0.25">
      <c r="A520">
        <v>407</v>
      </c>
      <c r="B520" s="1">
        <v>45344</v>
      </c>
      <c r="C520">
        <v>32</v>
      </c>
      <c r="D520">
        <v>5</v>
      </c>
      <c r="E520">
        <v>3</v>
      </c>
      <c r="F520">
        <v>3</v>
      </c>
      <c r="G520" t="s">
        <v>1044</v>
      </c>
      <c r="H520">
        <f>_xlfn.XLOOKUP(D520, productos!$A$2:$A$150, productos!$D$2:$D$150, "No Encontrado", 0)</f>
        <v>5.65</v>
      </c>
      <c r="I520">
        <f t="shared" si="8"/>
        <v>16.950000000000003</v>
      </c>
    </row>
    <row r="521" spans="1:9" x14ac:dyDescent="0.25">
      <c r="A521">
        <v>1184</v>
      </c>
      <c r="B521" s="1">
        <v>45344</v>
      </c>
      <c r="C521">
        <v>106</v>
      </c>
      <c r="D521">
        <v>38</v>
      </c>
      <c r="E521">
        <v>6</v>
      </c>
      <c r="F521">
        <v>5</v>
      </c>
      <c r="G521" t="s">
        <v>1044</v>
      </c>
      <c r="H521">
        <f>_xlfn.XLOOKUP(D521, productos!$A$2:$A$150, productos!$D$2:$D$150, "No Encontrado", 0)</f>
        <v>6.21</v>
      </c>
      <c r="I521">
        <f t="shared" si="8"/>
        <v>37.26</v>
      </c>
    </row>
    <row r="522" spans="1:9" x14ac:dyDescent="0.25">
      <c r="A522">
        <v>1200</v>
      </c>
      <c r="B522" s="1">
        <v>45344</v>
      </c>
      <c r="C522">
        <v>143</v>
      </c>
      <c r="D522">
        <v>32</v>
      </c>
      <c r="E522">
        <v>1</v>
      </c>
      <c r="F522">
        <v>5</v>
      </c>
      <c r="G522" t="s">
        <v>1045</v>
      </c>
      <c r="H522">
        <f>_xlfn.XLOOKUP(D522, productos!$A$2:$A$150, productos!$D$2:$D$150, "No Encontrado", 0)</f>
        <v>6.25</v>
      </c>
      <c r="I522">
        <f t="shared" si="8"/>
        <v>6.25</v>
      </c>
    </row>
    <row r="523" spans="1:9" x14ac:dyDescent="0.25">
      <c r="A523">
        <v>1792</v>
      </c>
      <c r="B523" s="1">
        <v>45344</v>
      </c>
      <c r="C523">
        <v>81</v>
      </c>
      <c r="D523">
        <v>9</v>
      </c>
      <c r="E523">
        <v>4</v>
      </c>
      <c r="F523">
        <v>1</v>
      </c>
      <c r="G523" t="s">
        <v>1044</v>
      </c>
      <c r="H523">
        <f>_xlfn.XLOOKUP(D523, productos!$A$2:$A$150, productos!$D$2:$D$150, "No Encontrado", 0)</f>
        <v>18.559999999999999</v>
      </c>
      <c r="I523">
        <f t="shared" si="8"/>
        <v>74.239999999999995</v>
      </c>
    </row>
    <row r="524" spans="1:9" x14ac:dyDescent="0.25">
      <c r="A524">
        <v>2027</v>
      </c>
      <c r="B524" s="1">
        <v>45344</v>
      </c>
      <c r="C524">
        <v>184</v>
      </c>
      <c r="D524">
        <v>32</v>
      </c>
      <c r="E524">
        <v>4</v>
      </c>
      <c r="F524">
        <v>1</v>
      </c>
      <c r="G524" t="s">
        <v>1044</v>
      </c>
      <c r="H524">
        <f>_xlfn.XLOOKUP(D524, productos!$A$2:$A$150, productos!$D$2:$D$150, "No Encontrado", 0)</f>
        <v>6.25</v>
      </c>
      <c r="I524">
        <f t="shared" si="8"/>
        <v>25</v>
      </c>
    </row>
    <row r="525" spans="1:9" x14ac:dyDescent="0.25">
      <c r="A525">
        <v>2206</v>
      </c>
      <c r="B525" s="1">
        <v>45344</v>
      </c>
      <c r="C525">
        <v>236</v>
      </c>
      <c r="D525">
        <v>23</v>
      </c>
      <c r="E525">
        <v>1</v>
      </c>
      <c r="F525">
        <v>1</v>
      </c>
      <c r="G525" t="s">
        <v>1044</v>
      </c>
      <c r="H525">
        <f>_xlfn.XLOOKUP(D525, productos!$A$2:$A$150, productos!$D$2:$D$150, "No Encontrado", 0)</f>
        <v>8.23</v>
      </c>
      <c r="I525">
        <f t="shared" si="8"/>
        <v>8.23</v>
      </c>
    </row>
    <row r="526" spans="1:9" x14ac:dyDescent="0.25">
      <c r="A526">
        <v>2235</v>
      </c>
      <c r="B526" s="1">
        <v>45344</v>
      </c>
      <c r="C526">
        <v>20</v>
      </c>
      <c r="D526">
        <v>28</v>
      </c>
      <c r="E526">
        <v>6</v>
      </c>
      <c r="F526">
        <v>5</v>
      </c>
      <c r="G526" t="s">
        <v>1044</v>
      </c>
      <c r="H526">
        <f>_xlfn.XLOOKUP(D526, productos!$A$2:$A$150, productos!$D$2:$D$150, "No Encontrado", 0)</f>
        <v>9.4499999999999993</v>
      </c>
      <c r="I526">
        <f t="shared" si="8"/>
        <v>56.699999999999996</v>
      </c>
    </row>
    <row r="527" spans="1:9" x14ac:dyDescent="0.25">
      <c r="A527">
        <v>2449</v>
      </c>
      <c r="B527" s="1">
        <v>45344</v>
      </c>
      <c r="C527">
        <v>262</v>
      </c>
      <c r="D527">
        <v>1</v>
      </c>
      <c r="E527">
        <v>2</v>
      </c>
      <c r="F527">
        <v>5</v>
      </c>
      <c r="G527" t="s">
        <v>1045</v>
      </c>
      <c r="H527">
        <f>_xlfn.XLOOKUP(D527, productos!$A$2:$A$150, productos!$D$2:$D$150, "No Encontrado", 0)</f>
        <v>12.24</v>
      </c>
      <c r="I527">
        <f t="shared" si="8"/>
        <v>24.48</v>
      </c>
    </row>
    <row r="528" spans="1:9" x14ac:dyDescent="0.25">
      <c r="A528">
        <v>2527</v>
      </c>
      <c r="B528" s="1">
        <v>45344</v>
      </c>
      <c r="C528">
        <v>55</v>
      </c>
      <c r="D528">
        <v>14</v>
      </c>
      <c r="E528">
        <v>3</v>
      </c>
      <c r="F528">
        <v>5</v>
      </c>
      <c r="G528" t="s">
        <v>1044</v>
      </c>
      <c r="H528">
        <f>_xlfn.XLOOKUP(D528, productos!$A$2:$A$150, productos!$D$2:$D$150, "No Encontrado", 0)</f>
        <v>12.36</v>
      </c>
      <c r="I528">
        <f t="shared" si="8"/>
        <v>37.08</v>
      </c>
    </row>
    <row r="529" spans="1:9" x14ac:dyDescent="0.25">
      <c r="A529">
        <v>784</v>
      </c>
      <c r="B529" s="1">
        <v>45345</v>
      </c>
      <c r="C529">
        <v>279</v>
      </c>
      <c r="D529">
        <v>10</v>
      </c>
      <c r="E529">
        <v>4</v>
      </c>
      <c r="F529">
        <v>2</v>
      </c>
      <c r="G529" t="s">
        <v>1044</v>
      </c>
      <c r="H529">
        <f>_xlfn.XLOOKUP(D529, productos!$A$2:$A$150, productos!$D$2:$D$150, "No Encontrado", 0)</f>
        <v>14.25</v>
      </c>
      <c r="I529">
        <f t="shared" si="8"/>
        <v>57</v>
      </c>
    </row>
    <row r="530" spans="1:9" x14ac:dyDescent="0.25">
      <c r="A530">
        <v>1586</v>
      </c>
      <c r="B530" s="1">
        <v>45345</v>
      </c>
      <c r="C530">
        <v>166</v>
      </c>
      <c r="D530">
        <v>38</v>
      </c>
      <c r="E530">
        <v>2</v>
      </c>
      <c r="F530">
        <v>4</v>
      </c>
      <c r="G530" t="s">
        <v>1045</v>
      </c>
      <c r="H530">
        <f>_xlfn.XLOOKUP(D530, productos!$A$2:$A$150, productos!$D$2:$D$150, "No Encontrado", 0)</f>
        <v>6.21</v>
      </c>
      <c r="I530">
        <f t="shared" si="8"/>
        <v>12.42</v>
      </c>
    </row>
    <row r="531" spans="1:9" x14ac:dyDescent="0.25">
      <c r="A531">
        <v>2869</v>
      </c>
      <c r="B531" s="1">
        <v>45345</v>
      </c>
      <c r="C531">
        <v>247</v>
      </c>
      <c r="D531">
        <v>4</v>
      </c>
      <c r="E531">
        <v>2</v>
      </c>
      <c r="F531">
        <v>4</v>
      </c>
      <c r="G531" t="s">
        <v>1044</v>
      </c>
      <c r="H531">
        <f>_xlfn.XLOOKUP(D531, productos!$A$2:$A$150, productos!$D$2:$D$150, "No Encontrado", 0)</f>
        <v>19.23</v>
      </c>
      <c r="I531">
        <f t="shared" si="8"/>
        <v>38.46</v>
      </c>
    </row>
    <row r="532" spans="1:9" x14ac:dyDescent="0.25">
      <c r="A532">
        <v>2982</v>
      </c>
      <c r="B532" s="1">
        <v>45345</v>
      </c>
      <c r="C532">
        <v>229</v>
      </c>
      <c r="D532">
        <v>34</v>
      </c>
      <c r="E532">
        <v>2</v>
      </c>
      <c r="F532">
        <v>4</v>
      </c>
      <c r="G532" t="s">
        <v>1044</v>
      </c>
      <c r="H532">
        <f>_xlfn.XLOOKUP(D532, productos!$A$2:$A$150, productos!$D$2:$D$150, "No Encontrado", 0)</f>
        <v>5.45</v>
      </c>
      <c r="I532">
        <f t="shared" si="8"/>
        <v>10.9</v>
      </c>
    </row>
    <row r="533" spans="1:9" x14ac:dyDescent="0.25">
      <c r="A533">
        <v>342</v>
      </c>
      <c r="B533" s="1">
        <v>45346</v>
      </c>
      <c r="C533">
        <v>109</v>
      </c>
      <c r="D533">
        <v>7</v>
      </c>
      <c r="E533">
        <v>3</v>
      </c>
      <c r="F533">
        <v>3</v>
      </c>
      <c r="G533" t="s">
        <v>1044</v>
      </c>
      <c r="H533">
        <f>_xlfn.XLOOKUP(D533, productos!$A$2:$A$150, productos!$D$2:$D$150, "No Encontrado", 0)</f>
        <v>11.25</v>
      </c>
      <c r="I533">
        <f t="shared" si="8"/>
        <v>33.75</v>
      </c>
    </row>
    <row r="534" spans="1:9" x14ac:dyDescent="0.25">
      <c r="A534">
        <v>783</v>
      </c>
      <c r="B534" s="1">
        <v>45346</v>
      </c>
      <c r="C534">
        <v>124</v>
      </c>
      <c r="D534">
        <v>30</v>
      </c>
      <c r="E534">
        <v>1</v>
      </c>
      <c r="F534">
        <v>2</v>
      </c>
      <c r="G534" t="s">
        <v>1044</v>
      </c>
      <c r="H534">
        <f>_xlfn.XLOOKUP(D534, productos!$A$2:$A$150, productos!$D$2:$D$150, "No Encontrado", 0)</f>
        <v>13.54</v>
      </c>
      <c r="I534">
        <f t="shared" si="8"/>
        <v>13.54</v>
      </c>
    </row>
    <row r="535" spans="1:9" x14ac:dyDescent="0.25">
      <c r="A535">
        <v>948</v>
      </c>
      <c r="B535" s="1">
        <v>45346</v>
      </c>
      <c r="C535">
        <v>218</v>
      </c>
      <c r="D535">
        <v>11</v>
      </c>
      <c r="E535">
        <v>1</v>
      </c>
      <c r="F535">
        <v>4</v>
      </c>
      <c r="G535" t="s">
        <v>1044</v>
      </c>
      <c r="H535">
        <f>_xlfn.XLOOKUP(D535, productos!$A$2:$A$150, productos!$D$2:$D$150, "No Encontrado", 0)</f>
        <v>11.23</v>
      </c>
      <c r="I535">
        <f t="shared" si="8"/>
        <v>11.23</v>
      </c>
    </row>
    <row r="536" spans="1:9" x14ac:dyDescent="0.25">
      <c r="A536">
        <v>1416</v>
      </c>
      <c r="B536" s="1">
        <v>45346</v>
      </c>
      <c r="C536">
        <v>31</v>
      </c>
      <c r="D536">
        <v>38</v>
      </c>
      <c r="E536">
        <v>2</v>
      </c>
      <c r="F536">
        <v>5</v>
      </c>
      <c r="G536" t="s">
        <v>1044</v>
      </c>
      <c r="H536">
        <f>_xlfn.XLOOKUP(D536, productos!$A$2:$A$150, productos!$D$2:$D$150, "No Encontrado", 0)</f>
        <v>6.21</v>
      </c>
      <c r="I536">
        <f t="shared" si="8"/>
        <v>12.42</v>
      </c>
    </row>
    <row r="537" spans="1:9" x14ac:dyDescent="0.25">
      <c r="A537">
        <v>1674</v>
      </c>
      <c r="B537" s="1">
        <v>45346</v>
      </c>
      <c r="C537">
        <v>75</v>
      </c>
      <c r="D537">
        <v>23</v>
      </c>
      <c r="E537">
        <v>4</v>
      </c>
      <c r="F537">
        <v>5</v>
      </c>
      <c r="G537" t="s">
        <v>1045</v>
      </c>
      <c r="H537">
        <f>_xlfn.XLOOKUP(D537, productos!$A$2:$A$150, productos!$D$2:$D$150, "No Encontrado", 0)</f>
        <v>8.23</v>
      </c>
      <c r="I537">
        <f t="shared" si="8"/>
        <v>32.92</v>
      </c>
    </row>
    <row r="538" spans="1:9" x14ac:dyDescent="0.25">
      <c r="A538">
        <v>1852</v>
      </c>
      <c r="B538" s="1">
        <v>45346</v>
      </c>
      <c r="C538">
        <v>230</v>
      </c>
      <c r="D538">
        <v>1</v>
      </c>
      <c r="E538">
        <v>4</v>
      </c>
      <c r="F538">
        <v>5</v>
      </c>
      <c r="G538" t="s">
        <v>1045</v>
      </c>
      <c r="H538">
        <f>_xlfn.XLOOKUP(D538, productos!$A$2:$A$150, productos!$D$2:$D$150, "No Encontrado", 0)</f>
        <v>12.24</v>
      </c>
      <c r="I538">
        <f t="shared" si="8"/>
        <v>48.96</v>
      </c>
    </row>
    <row r="539" spans="1:9" x14ac:dyDescent="0.25">
      <c r="A539">
        <v>2439</v>
      </c>
      <c r="B539" s="1">
        <v>45346</v>
      </c>
      <c r="C539">
        <v>142</v>
      </c>
      <c r="D539">
        <v>7</v>
      </c>
      <c r="E539">
        <v>3</v>
      </c>
      <c r="F539">
        <v>5</v>
      </c>
      <c r="G539" t="s">
        <v>1044</v>
      </c>
      <c r="H539">
        <f>_xlfn.XLOOKUP(D539, productos!$A$2:$A$150, productos!$D$2:$D$150, "No Encontrado", 0)</f>
        <v>11.25</v>
      </c>
      <c r="I539">
        <f t="shared" si="8"/>
        <v>33.75</v>
      </c>
    </row>
    <row r="540" spans="1:9" x14ac:dyDescent="0.25">
      <c r="A540">
        <v>2835</v>
      </c>
      <c r="B540" s="1">
        <v>45346</v>
      </c>
      <c r="C540">
        <v>57</v>
      </c>
      <c r="D540">
        <v>3</v>
      </c>
      <c r="E540">
        <v>5</v>
      </c>
      <c r="F540">
        <v>5</v>
      </c>
      <c r="G540" t="s">
        <v>1045</v>
      </c>
      <c r="H540">
        <f>_xlfn.XLOOKUP(D540, productos!$A$2:$A$150, productos!$D$2:$D$150, "No Encontrado", 0)</f>
        <v>17.23</v>
      </c>
      <c r="I540">
        <f t="shared" si="8"/>
        <v>86.15</v>
      </c>
    </row>
    <row r="541" spans="1:9" x14ac:dyDescent="0.25">
      <c r="A541">
        <v>1999</v>
      </c>
      <c r="B541" s="1">
        <v>45347</v>
      </c>
      <c r="C541">
        <v>209</v>
      </c>
      <c r="D541">
        <v>33</v>
      </c>
      <c r="E541">
        <v>2</v>
      </c>
      <c r="F541">
        <v>5</v>
      </c>
      <c r="G541" t="s">
        <v>1044</v>
      </c>
      <c r="H541">
        <f>_xlfn.XLOOKUP(D541, productos!$A$2:$A$150, productos!$D$2:$D$150, "No Encontrado", 0)</f>
        <v>8.5399999999999991</v>
      </c>
      <c r="I541">
        <f t="shared" si="8"/>
        <v>17.079999999999998</v>
      </c>
    </row>
    <row r="542" spans="1:9" x14ac:dyDescent="0.25">
      <c r="A542">
        <v>2155</v>
      </c>
      <c r="B542" s="1">
        <v>45347</v>
      </c>
      <c r="C542">
        <v>162</v>
      </c>
      <c r="D542">
        <v>17</v>
      </c>
      <c r="E542">
        <v>1</v>
      </c>
      <c r="F542">
        <v>3</v>
      </c>
      <c r="G542" t="s">
        <v>1045</v>
      </c>
      <c r="H542">
        <f>_xlfn.XLOOKUP(D542, productos!$A$2:$A$150, productos!$D$2:$D$150, "No Encontrado", 0)</f>
        <v>6.54</v>
      </c>
      <c r="I542">
        <f t="shared" si="8"/>
        <v>6.54</v>
      </c>
    </row>
    <row r="543" spans="1:9" x14ac:dyDescent="0.25">
      <c r="A543">
        <v>2309</v>
      </c>
      <c r="B543" s="1">
        <v>45347</v>
      </c>
      <c r="C543">
        <v>82</v>
      </c>
      <c r="D543">
        <v>1</v>
      </c>
      <c r="E543">
        <v>4</v>
      </c>
      <c r="F543">
        <v>4</v>
      </c>
      <c r="G543" t="s">
        <v>1045</v>
      </c>
      <c r="H543">
        <f>_xlfn.XLOOKUP(D543, productos!$A$2:$A$150, productos!$D$2:$D$150, "No Encontrado", 0)</f>
        <v>12.24</v>
      </c>
      <c r="I543">
        <f t="shared" si="8"/>
        <v>48.96</v>
      </c>
    </row>
    <row r="544" spans="1:9" x14ac:dyDescent="0.25">
      <c r="A544">
        <v>2331</v>
      </c>
      <c r="B544" s="1">
        <v>45347</v>
      </c>
      <c r="C544">
        <v>228</v>
      </c>
      <c r="D544">
        <v>1</v>
      </c>
      <c r="E544">
        <v>2</v>
      </c>
      <c r="F544">
        <v>3</v>
      </c>
      <c r="G544" t="s">
        <v>1044</v>
      </c>
      <c r="H544">
        <f>_xlfn.XLOOKUP(D544, productos!$A$2:$A$150, productos!$D$2:$D$150, "No Encontrado", 0)</f>
        <v>12.24</v>
      </c>
      <c r="I544">
        <f t="shared" si="8"/>
        <v>24.48</v>
      </c>
    </row>
    <row r="545" spans="1:9" x14ac:dyDescent="0.25">
      <c r="A545">
        <v>2729</v>
      </c>
      <c r="B545" s="1">
        <v>45347</v>
      </c>
      <c r="C545">
        <v>166</v>
      </c>
      <c r="D545">
        <v>9</v>
      </c>
      <c r="E545">
        <v>4</v>
      </c>
      <c r="F545">
        <v>3</v>
      </c>
      <c r="G545" t="s">
        <v>1044</v>
      </c>
      <c r="H545">
        <f>_xlfn.XLOOKUP(D545, productos!$A$2:$A$150, productos!$D$2:$D$150, "No Encontrado", 0)</f>
        <v>18.559999999999999</v>
      </c>
      <c r="I545">
        <f t="shared" si="8"/>
        <v>74.239999999999995</v>
      </c>
    </row>
    <row r="546" spans="1:9" x14ac:dyDescent="0.25">
      <c r="A546">
        <v>577</v>
      </c>
      <c r="B546" s="1">
        <v>45348</v>
      </c>
      <c r="C546">
        <v>169</v>
      </c>
      <c r="D546">
        <v>3</v>
      </c>
      <c r="E546">
        <v>1</v>
      </c>
      <c r="F546">
        <v>3</v>
      </c>
      <c r="G546" t="s">
        <v>1044</v>
      </c>
      <c r="H546">
        <f>_xlfn.XLOOKUP(D546, productos!$A$2:$A$150, productos!$D$2:$D$150, "No Encontrado", 0)</f>
        <v>17.23</v>
      </c>
      <c r="I546">
        <f t="shared" si="8"/>
        <v>17.23</v>
      </c>
    </row>
    <row r="547" spans="1:9" x14ac:dyDescent="0.25">
      <c r="A547">
        <v>1287</v>
      </c>
      <c r="B547" s="1">
        <v>45348</v>
      </c>
      <c r="C547">
        <v>22</v>
      </c>
      <c r="D547">
        <v>25</v>
      </c>
      <c r="E547">
        <v>6</v>
      </c>
      <c r="F547">
        <v>1</v>
      </c>
      <c r="G547" t="s">
        <v>1044</v>
      </c>
      <c r="H547">
        <f>_xlfn.XLOOKUP(D547, productos!$A$2:$A$150, productos!$D$2:$D$150, "No Encontrado", 0)</f>
        <v>15.45</v>
      </c>
      <c r="I547">
        <f t="shared" si="8"/>
        <v>92.699999999999989</v>
      </c>
    </row>
    <row r="548" spans="1:9" x14ac:dyDescent="0.25">
      <c r="A548">
        <v>1830</v>
      </c>
      <c r="B548" s="1">
        <v>45348</v>
      </c>
      <c r="C548">
        <v>291</v>
      </c>
      <c r="D548">
        <v>32</v>
      </c>
      <c r="E548">
        <v>4</v>
      </c>
      <c r="F548">
        <v>4</v>
      </c>
      <c r="G548" t="s">
        <v>1044</v>
      </c>
      <c r="H548">
        <f>_xlfn.XLOOKUP(D548, productos!$A$2:$A$150, productos!$D$2:$D$150, "No Encontrado", 0)</f>
        <v>6.25</v>
      </c>
      <c r="I548">
        <f t="shared" si="8"/>
        <v>25</v>
      </c>
    </row>
    <row r="549" spans="1:9" x14ac:dyDescent="0.25">
      <c r="A549">
        <v>2067</v>
      </c>
      <c r="B549" s="1">
        <v>45348</v>
      </c>
      <c r="C549">
        <v>73</v>
      </c>
      <c r="D549">
        <v>23</v>
      </c>
      <c r="E549">
        <v>1</v>
      </c>
      <c r="F549">
        <v>4</v>
      </c>
      <c r="G549" t="s">
        <v>1044</v>
      </c>
      <c r="H549">
        <f>_xlfn.XLOOKUP(D549, productos!$A$2:$A$150, productos!$D$2:$D$150, "No Encontrado", 0)</f>
        <v>8.23</v>
      </c>
      <c r="I549">
        <f t="shared" si="8"/>
        <v>8.23</v>
      </c>
    </row>
    <row r="550" spans="1:9" x14ac:dyDescent="0.25">
      <c r="A550">
        <v>2978</v>
      </c>
      <c r="B550" s="1">
        <v>45348</v>
      </c>
      <c r="C550">
        <v>108</v>
      </c>
      <c r="D550">
        <v>3</v>
      </c>
      <c r="E550">
        <v>3</v>
      </c>
      <c r="F550">
        <v>1</v>
      </c>
      <c r="G550" t="s">
        <v>1044</v>
      </c>
      <c r="H550">
        <f>_xlfn.XLOOKUP(D550, productos!$A$2:$A$150, productos!$D$2:$D$150, "No Encontrado", 0)</f>
        <v>17.23</v>
      </c>
      <c r="I550">
        <f t="shared" si="8"/>
        <v>51.69</v>
      </c>
    </row>
    <row r="551" spans="1:9" x14ac:dyDescent="0.25">
      <c r="A551">
        <v>713</v>
      </c>
      <c r="B551" s="1">
        <v>45349</v>
      </c>
      <c r="C551">
        <v>64</v>
      </c>
      <c r="D551">
        <v>14</v>
      </c>
      <c r="E551">
        <v>2</v>
      </c>
      <c r="F551">
        <v>4</v>
      </c>
      <c r="G551" t="s">
        <v>1044</v>
      </c>
      <c r="H551">
        <f>_xlfn.XLOOKUP(D551, productos!$A$2:$A$150, productos!$D$2:$D$150, "No Encontrado", 0)</f>
        <v>12.36</v>
      </c>
      <c r="I551">
        <f t="shared" si="8"/>
        <v>24.72</v>
      </c>
    </row>
    <row r="552" spans="1:9" x14ac:dyDescent="0.25">
      <c r="A552">
        <v>1841</v>
      </c>
      <c r="B552" s="1">
        <v>45349</v>
      </c>
      <c r="C552">
        <v>37</v>
      </c>
      <c r="D552">
        <v>38</v>
      </c>
      <c r="E552">
        <v>6</v>
      </c>
      <c r="F552">
        <v>5</v>
      </c>
      <c r="G552" t="s">
        <v>1044</v>
      </c>
      <c r="H552">
        <f>_xlfn.XLOOKUP(D552, productos!$A$2:$A$150, productos!$D$2:$D$150, "No Encontrado", 0)</f>
        <v>6.21</v>
      </c>
      <c r="I552">
        <f t="shared" si="8"/>
        <v>37.26</v>
      </c>
    </row>
    <row r="553" spans="1:9" x14ac:dyDescent="0.25">
      <c r="A553">
        <v>2248</v>
      </c>
      <c r="B553" s="1">
        <v>45349</v>
      </c>
      <c r="C553">
        <v>16</v>
      </c>
      <c r="D553">
        <v>22</v>
      </c>
      <c r="E553">
        <v>1</v>
      </c>
      <c r="F553">
        <v>4</v>
      </c>
      <c r="G553" t="s">
        <v>1045</v>
      </c>
      <c r="H553">
        <f>_xlfn.XLOOKUP(D553, productos!$A$2:$A$150, productos!$D$2:$D$150, "No Encontrado", 0)</f>
        <v>4.21</v>
      </c>
      <c r="I553">
        <f t="shared" si="8"/>
        <v>4.21</v>
      </c>
    </row>
    <row r="554" spans="1:9" x14ac:dyDescent="0.25">
      <c r="A554">
        <v>2272</v>
      </c>
      <c r="B554" s="1">
        <v>45349</v>
      </c>
      <c r="C554">
        <v>85</v>
      </c>
      <c r="D554">
        <v>16</v>
      </c>
      <c r="E554">
        <v>6</v>
      </c>
      <c r="F554">
        <v>4</v>
      </c>
      <c r="G554" t="s">
        <v>1044</v>
      </c>
      <c r="H554">
        <f>_xlfn.XLOOKUP(D554, productos!$A$2:$A$150, productos!$D$2:$D$150, "No Encontrado", 0)</f>
        <v>15.23</v>
      </c>
      <c r="I554">
        <f t="shared" si="8"/>
        <v>91.38</v>
      </c>
    </row>
    <row r="555" spans="1:9" x14ac:dyDescent="0.25">
      <c r="A555">
        <v>2442</v>
      </c>
      <c r="B555" s="1">
        <v>45349</v>
      </c>
      <c r="C555">
        <v>266</v>
      </c>
      <c r="D555">
        <v>26</v>
      </c>
      <c r="E555">
        <v>3</v>
      </c>
      <c r="F555">
        <v>5</v>
      </c>
      <c r="G555" t="s">
        <v>1044</v>
      </c>
      <c r="H555">
        <f>_xlfn.XLOOKUP(D555, productos!$A$2:$A$150, productos!$D$2:$D$150, "No Encontrado", 0)</f>
        <v>9.5399999999999991</v>
      </c>
      <c r="I555">
        <f t="shared" si="8"/>
        <v>28.619999999999997</v>
      </c>
    </row>
    <row r="556" spans="1:9" x14ac:dyDescent="0.25">
      <c r="A556">
        <v>2789</v>
      </c>
      <c r="B556" s="1">
        <v>45349</v>
      </c>
      <c r="C556">
        <v>35</v>
      </c>
      <c r="D556">
        <v>22</v>
      </c>
      <c r="E556">
        <v>5</v>
      </c>
      <c r="F556">
        <v>1</v>
      </c>
      <c r="G556" t="s">
        <v>1044</v>
      </c>
      <c r="H556">
        <f>_xlfn.XLOOKUP(D556, productos!$A$2:$A$150, productos!$D$2:$D$150, "No Encontrado", 0)</f>
        <v>4.21</v>
      </c>
      <c r="I556">
        <f t="shared" si="8"/>
        <v>21.05</v>
      </c>
    </row>
    <row r="557" spans="1:9" x14ac:dyDescent="0.25">
      <c r="A557">
        <v>2901</v>
      </c>
      <c r="B557" s="1">
        <v>45349</v>
      </c>
      <c r="C557">
        <v>34</v>
      </c>
      <c r="D557">
        <v>19</v>
      </c>
      <c r="E557">
        <v>1</v>
      </c>
      <c r="F557">
        <v>4</v>
      </c>
      <c r="G557" t="s">
        <v>1044</v>
      </c>
      <c r="H557">
        <f>_xlfn.XLOOKUP(D557, productos!$A$2:$A$150, productos!$D$2:$D$150, "No Encontrado", 0)</f>
        <v>6.54</v>
      </c>
      <c r="I557">
        <f t="shared" si="8"/>
        <v>6.54</v>
      </c>
    </row>
    <row r="558" spans="1:9" x14ac:dyDescent="0.25">
      <c r="A558">
        <v>545</v>
      </c>
      <c r="B558" s="1">
        <v>45350</v>
      </c>
      <c r="C558">
        <v>20</v>
      </c>
      <c r="D558">
        <v>26</v>
      </c>
      <c r="E558">
        <v>4</v>
      </c>
      <c r="F558">
        <v>4</v>
      </c>
      <c r="G558" t="s">
        <v>1044</v>
      </c>
      <c r="H558">
        <f>_xlfn.XLOOKUP(D558, productos!$A$2:$A$150, productos!$D$2:$D$150, "No Encontrado", 0)</f>
        <v>9.5399999999999991</v>
      </c>
      <c r="I558">
        <f t="shared" si="8"/>
        <v>38.159999999999997</v>
      </c>
    </row>
    <row r="559" spans="1:9" x14ac:dyDescent="0.25">
      <c r="A559">
        <v>795</v>
      </c>
      <c r="B559" s="1">
        <v>45350</v>
      </c>
      <c r="C559">
        <v>256</v>
      </c>
      <c r="D559">
        <v>25</v>
      </c>
      <c r="E559">
        <v>6</v>
      </c>
      <c r="F559">
        <v>5</v>
      </c>
      <c r="G559" t="s">
        <v>1044</v>
      </c>
      <c r="H559">
        <f>_xlfn.XLOOKUP(D559, productos!$A$2:$A$150, productos!$D$2:$D$150, "No Encontrado", 0)</f>
        <v>15.45</v>
      </c>
      <c r="I559">
        <f t="shared" si="8"/>
        <v>92.699999999999989</v>
      </c>
    </row>
    <row r="560" spans="1:9" x14ac:dyDescent="0.25">
      <c r="A560">
        <v>1749</v>
      </c>
      <c r="B560" s="1">
        <v>45350</v>
      </c>
      <c r="C560">
        <v>95</v>
      </c>
      <c r="D560">
        <v>33</v>
      </c>
      <c r="E560">
        <v>1</v>
      </c>
      <c r="F560">
        <v>5</v>
      </c>
      <c r="G560" t="s">
        <v>1044</v>
      </c>
      <c r="H560">
        <f>_xlfn.XLOOKUP(D560, productos!$A$2:$A$150, productos!$D$2:$D$150, "No Encontrado", 0)</f>
        <v>8.5399999999999991</v>
      </c>
      <c r="I560">
        <f t="shared" si="8"/>
        <v>8.5399999999999991</v>
      </c>
    </row>
    <row r="561" spans="1:9" x14ac:dyDescent="0.25">
      <c r="A561">
        <v>2047</v>
      </c>
      <c r="B561" s="1">
        <v>45350</v>
      </c>
      <c r="C561">
        <v>117</v>
      </c>
      <c r="D561">
        <v>17</v>
      </c>
      <c r="E561">
        <v>1</v>
      </c>
      <c r="F561">
        <v>5</v>
      </c>
      <c r="G561" t="s">
        <v>1044</v>
      </c>
      <c r="H561">
        <f>_xlfn.XLOOKUP(D561, productos!$A$2:$A$150, productos!$D$2:$D$150, "No Encontrado", 0)</f>
        <v>6.54</v>
      </c>
      <c r="I561">
        <f t="shared" si="8"/>
        <v>6.54</v>
      </c>
    </row>
    <row r="562" spans="1:9" x14ac:dyDescent="0.25">
      <c r="A562">
        <v>2294</v>
      </c>
      <c r="B562" s="1">
        <v>45350</v>
      </c>
      <c r="C562">
        <v>316</v>
      </c>
      <c r="D562">
        <v>35</v>
      </c>
      <c r="E562">
        <v>2</v>
      </c>
      <c r="F562">
        <v>1</v>
      </c>
      <c r="G562" t="s">
        <v>1044</v>
      </c>
      <c r="H562">
        <f>_xlfn.XLOOKUP(D562, productos!$A$2:$A$150, productos!$D$2:$D$150, "No Encontrado", 0)</f>
        <v>4.25</v>
      </c>
      <c r="I562">
        <f t="shared" si="8"/>
        <v>8.5</v>
      </c>
    </row>
    <row r="563" spans="1:9" x14ac:dyDescent="0.25">
      <c r="A563">
        <v>2346</v>
      </c>
      <c r="B563" s="1">
        <v>45350</v>
      </c>
      <c r="C563">
        <v>274</v>
      </c>
      <c r="D563">
        <v>25</v>
      </c>
      <c r="E563">
        <v>4</v>
      </c>
      <c r="F563">
        <v>3</v>
      </c>
      <c r="G563" t="s">
        <v>1044</v>
      </c>
      <c r="H563">
        <f>_xlfn.XLOOKUP(D563, productos!$A$2:$A$150, productos!$D$2:$D$150, "No Encontrado", 0)</f>
        <v>15.45</v>
      </c>
      <c r="I563">
        <f t="shared" si="8"/>
        <v>61.8</v>
      </c>
    </row>
    <row r="564" spans="1:9" x14ac:dyDescent="0.25">
      <c r="A564">
        <v>2460</v>
      </c>
      <c r="B564" s="1">
        <v>45350</v>
      </c>
      <c r="C564">
        <v>301</v>
      </c>
      <c r="D564">
        <v>15</v>
      </c>
      <c r="E564">
        <v>5</v>
      </c>
      <c r="F564">
        <v>4</v>
      </c>
      <c r="G564" t="s">
        <v>1044</v>
      </c>
      <c r="H564">
        <f>_xlfn.XLOOKUP(D564, productos!$A$2:$A$150, productos!$D$2:$D$150, "No Encontrado", 0)</f>
        <v>3.51</v>
      </c>
      <c r="I564">
        <f t="shared" si="8"/>
        <v>17.549999999999997</v>
      </c>
    </row>
    <row r="565" spans="1:9" x14ac:dyDescent="0.25">
      <c r="A565">
        <v>2550</v>
      </c>
      <c r="B565" s="1">
        <v>45350</v>
      </c>
      <c r="C565">
        <v>138</v>
      </c>
      <c r="D565">
        <v>23</v>
      </c>
      <c r="E565">
        <v>4</v>
      </c>
      <c r="F565">
        <v>3</v>
      </c>
      <c r="G565" t="s">
        <v>1045</v>
      </c>
      <c r="H565">
        <f>_xlfn.XLOOKUP(D565, productos!$A$2:$A$150, productos!$D$2:$D$150, "No Encontrado", 0)</f>
        <v>8.23</v>
      </c>
      <c r="I565">
        <f t="shared" si="8"/>
        <v>32.92</v>
      </c>
    </row>
    <row r="566" spans="1:9" x14ac:dyDescent="0.25">
      <c r="A566">
        <v>2600</v>
      </c>
      <c r="B566" s="1">
        <v>45350</v>
      </c>
      <c r="C566">
        <v>187</v>
      </c>
      <c r="D566">
        <v>25</v>
      </c>
      <c r="E566">
        <v>4</v>
      </c>
      <c r="F566">
        <v>5</v>
      </c>
      <c r="G566" t="s">
        <v>1044</v>
      </c>
      <c r="H566">
        <f>_xlfn.XLOOKUP(D566, productos!$A$2:$A$150, productos!$D$2:$D$150, "No Encontrado", 0)</f>
        <v>15.45</v>
      </c>
      <c r="I566">
        <f t="shared" si="8"/>
        <v>61.8</v>
      </c>
    </row>
    <row r="567" spans="1:9" x14ac:dyDescent="0.25">
      <c r="A567">
        <v>452</v>
      </c>
      <c r="B567" s="1">
        <v>45351</v>
      </c>
      <c r="C567">
        <v>115</v>
      </c>
      <c r="D567">
        <v>4</v>
      </c>
      <c r="E567">
        <v>5</v>
      </c>
      <c r="F567">
        <v>4</v>
      </c>
      <c r="G567" t="s">
        <v>1044</v>
      </c>
      <c r="H567">
        <f>_xlfn.XLOOKUP(D567, productos!$A$2:$A$150, productos!$D$2:$D$150, "No Encontrado", 0)</f>
        <v>19.23</v>
      </c>
      <c r="I567">
        <f t="shared" si="8"/>
        <v>96.15</v>
      </c>
    </row>
    <row r="568" spans="1:9" x14ac:dyDescent="0.25">
      <c r="A568">
        <v>1037</v>
      </c>
      <c r="B568" s="1">
        <v>45351</v>
      </c>
      <c r="C568">
        <v>48</v>
      </c>
      <c r="D568">
        <v>30</v>
      </c>
      <c r="E568">
        <v>6</v>
      </c>
      <c r="F568">
        <v>4</v>
      </c>
      <c r="G568" t="s">
        <v>1044</v>
      </c>
      <c r="H568">
        <f>_xlfn.XLOOKUP(D568, productos!$A$2:$A$150, productos!$D$2:$D$150, "No Encontrado", 0)</f>
        <v>13.54</v>
      </c>
      <c r="I568">
        <f t="shared" si="8"/>
        <v>81.239999999999995</v>
      </c>
    </row>
    <row r="569" spans="1:9" x14ac:dyDescent="0.25">
      <c r="A569">
        <v>1190</v>
      </c>
      <c r="B569" s="1">
        <v>45351</v>
      </c>
      <c r="C569">
        <v>119</v>
      </c>
      <c r="D569">
        <v>21</v>
      </c>
      <c r="E569">
        <v>1</v>
      </c>
      <c r="F569">
        <v>3</v>
      </c>
      <c r="G569" t="s">
        <v>1044</v>
      </c>
      <c r="H569">
        <f>_xlfn.XLOOKUP(D569, productos!$A$2:$A$150, productos!$D$2:$D$150, "No Encontrado", 0)</f>
        <v>3.25</v>
      </c>
      <c r="I569">
        <f t="shared" si="8"/>
        <v>3.25</v>
      </c>
    </row>
    <row r="570" spans="1:9" x14ac:dyDescent="0.25">
      <c r="A570">
        <v>1313</v>
      </c>
      <c r="B570" s="1">
        <v>45351</v>
      </c>
      <c r="C570">
        <v>95</v>
      </c>
      <c r="D570">
        <v>13</v>
      </c>
      <c r="E570">
        <v>2</v>
      </c>
      <c r="F570">
        <v>3</v>
      </c>
      <c r="G570" t="s">
        <v>1044</v>
      </c>
      <c r="H570">
        <f>_xlfn.XLOOKUP(D570, productos!$A$2:$A$150, productos!$D$2:$D$150, "No Encontrado", 0)</f>
        <v>12.56</v>
      </c>
      <c r="I570">
        <f t="shared" si="8"/>
        <v>25.12</v>
      </c>
    </row>
    <row r="571" spans="1:9" x14ac:dyDescent="0.25">
      <c r="A571">
        <v>1713</v>
      </c>
      <c r="B571" s="1">
        <v>45351</v>
      </c>
      <c r="C571">
        <v>265</v>
      </c>
      <c r="D571">
        <v>14</v>
      </c>
      <c r="E571">
        <v>2</v>
      </c>
      <c r="F571">
        <v>4</v>
      </c>
      <c r="G571" t="s">
        <v>1044</v>
      </c>
      <c r="H571">
        <f>_xlfn.XLOOKUP(D571, productos!$A$2:$A$150, productos!$D$2:$D$150, "No Encontrado", 0)</f>
        <v>12.36</v>
      </c>
      <c r="I571">
        <f t="shared" si="8"/>
        <v>24.72</v>
      </c>
    </row>
    <row r="572" spans="1:9" x14ac:dyDescent="0.25">
      <c r="A572">
        <v>1907</v>
      </c>
      <c r="B572" s="1">
        <v>45351</v>
      </c>
      <c r="C572">
        <v>278</v>
      </c>
      <c r="D572">
        <v>12</v>
      </c>
      <c r="E572">
        <v>3</v>
      </c>
      <c r="F572">
        <v>5</v>
      </c>
      <c r="G572" t="s">
        <v>1045</v>
      </c>
      <c r="H572">
        <f>_xlfn.XLOOKUP(D572, productos!$A$2:$A$150, productos!$D$2:$D$150, "No Encontrado", 0)</f>
        <v>8.1199999999999992</v>
      </c>
      <c r="I572">
        <f t="shared" si="8"/>
        <v>24.36</v>
      </c>
    </row>
    <row r="573" spans="1:9" x14ac:dyDescent="0.25">
      <c r="A573">
        <v>2059</v>
      </c>
      <c r="B573" s="1">
        <v>45351</v>
      </c>
      <c r="C573">
        <v>84</v>
      </c>
      <c r="D573">
        <v>20</v>
      </c>
      <c r="E573">
        <v>6</v>
      </c>
      <c r="F573">
        <v>3</v>
      </c>
      <c r="G573" t="s">
        <v>1044</v>
      </c>
      <c r="H573">
        <f>_xlfn.XLOOKUP(D573, productos!$A$2:$A$150, productos!$D$2:$D$150, "No Encontrado", 0)</f>
        <v>4.25</v>
      </c>
      <c r="I573">
        <f t="shared" si="8"/>
        <v>25.5</v>
      </c>
    </row>
    <row r="574" spans="1:9" x14ac:dyDescent="0.25">
      <c r="A574">
        <v>2606</v>
      </c>
      <c r="B574" s="1">
        <v>45351</v>
      </c>
      <c r="C574">
        <v>221</v>
      </c>
      <c r="D574">
        <v>7</v>
      </c>
      <c r="E574">
        <v>2</v>
      </c>
      <c r="F574">
        <v>4</v>
      </c>
      <c r="G574" t="s">
        <v>1044</v>
      </c>
      <c r="H574">
        <f>_xlfn.XLOOKUP(D574, productos!$A$2:$A$150, productos!$D$2:$D$150, "No Encontrado", 0)</f>
        <v>11.25</v>
      </c>
      <c r="I574">
        <f t="shared" si="8"/>
        <v>22.5</v>
      </c>
    </row>
    <row r="575" spans="1:9" x14ac:dyDescent="0.25">
      <c r="A575">
        <v>1188</v>
      </c>
      <c r="B575" s="1">
        <v>45352</v>
      </c>
      <c r="C575">
        <v>255</v>
      </c>
      <c r="D575">
        <v>27</v>
      </c>
      <c r="E575">
        <v>3</v>
      </c>
      <c r="F575">
        <v>5</v>
      </c>
      <c r="G575" t="s">
        <v>1045</v>
      </c>
      <c r="H575">
        <f>_xlfn.XLOOKUP(D575, productos!$A$2:$A$150, productos!$D$2:$D$150, "No Encontrado", 0)</f>
        <v>6.21</v>
      </c>
      <c r="I575">
        <f t="shared" si="8"/>
        <v>18.63</v>
      </c>
    </row>
    <row r="576" spans="1:9" x14ac:dyDescent="0.25">
      <c r="A576">
        <v>1422</v>
      </c>
      <c r="B576" s="1">
        <v>45352</v>
      </c>
      <c r="C576">
        <v>58</v>
      </c>
      <c r="D576">
        <v>2</v>
      </c>
      <c r="E576">
        <v>1</v>
      </c>
      <c r="F576">
        <v>4</v>
      </c>
      <c r="G576" t="s">
        <v>1044</v>
      </c>
      <c r="H576">
        <f>_xlfn.XLOOKUP(D576, productos!$A$2:$A$150, productos!$D$2:$D$150, "No Encontrado", 0)</f>
        <v>5.21</v>
      </c>
      <c r="I576">
        <f t="shared" si="8"/>
        <v>5.21</v>
      </c>
    </row>
    <row r="577" spans="1:9" x14ac:dyDescent="0.25">
      <c r="A577">
        <v>1465</v>
      </c>
      <c r="B577" s="1">
        <v>45352</v>
      </c>
      <c r="C577">
        <v>36</v>
      </c>
      <c r="D577">
        <v>14</v>
      </c>
      <c r="E577">
        <v>2</v>
      </c>
      <c r="F577">
        <v>5</v>
      </c>
      <c r="G577" t="s">
        <v>1044</v>
      </c>
      <c r="H577">
        <f>_xlfn.XLOOKUP(D577, productos!$A$2:$A$150, productos!$D$2:$D$150, "No Encontrado", 0)</f>
        <v>12.36</v>
      </c>
      <c r="I577">
        <f t="shared" si="8"/>
        <v>24.72</v>
      </c>
    </row>
    <row r="578" spans="1:9" x14ac:dyDescent="0.25">
      <c r="A578">
        <v>1535</v>
      </c>
      <c r="B578" s="1">
        <v>45352</v>
      </c>
      <c r="C578">
        <v>255</v>
      </c>
      <c r="D578">
        <v>8</v>
      </c>
      <c r="E578">
        <v>1</v>
      </c>
      <c r="F578">
        <v>3</v>
      </c>
      <c r="G578" t="s">
        <v>1044</v>
      </c>
      <c r="H578">
        <f>_xlfn.XLOOKUP(D578, productos!$A$2:$A$150, productos!$D$2:$D$150, "No Encontrado", 0)</f>
        <v>16.21</v>
      </c>
      <c r="I578">
        <f t="shared" si="8"/>
        <v>16.21</v>
      </c>
    </row>
    <row r="579" spans="1:9" x14ac:dyDescent="0.25">
      <c r="A579">
        <v>2280</v>
      </c>
      <c r="B579" s="1">
        <v>45352</v>
      </c>
      <c r="C579">
        <v>134</v>
      </c>
      <c r="D579">
        <v>18</v>
      </c>
      <c r="E579">
        <v>1</v>
      </c>
      <c r="F579">
        <v>4</v>
      </c>
      <c r="G579" t="s">
        <v>1044</v>
      </c>
      <c r="H579">
        <f>_xlfn.XLOOKUP(D579, productos!$A$2:$A$150, productos!$D$2:$D$150, "No Encontrado", 0)</f>
        <v>7.25</v>
      </c>
      <c r="I579">
        <f t="shared" ref="I579:I642" si="9">E579*H579</f>
        <v>7.25</v>
      </c>
    </row>
    <row r="580" spans="1:9" x14ac:dyDescent="0.25">
      <c r="A580">
        <v>2668</v>
      </c>
      <c r="B580" s="1">
        <v>45352</v>
      </c>
      <c r="C580">
        <v>117</v>
      </c>
      <c r="D580">
        <v>19</v>
      </c>
      <c r="E580">
        <v>5</v>
      </c>
      <c r="F580">
        <v>1</v>
      </c>
      <c r="G580" t="s">
        <v>1045</v>
      </c>
      <c r="H580">
        <f>_xlfn.XLOOKUP(D580, productos!$A$2:$A$150, productos!$D$2:$D$150, "No Encontrado", 0)</f>
        <v>6.54</v>
      </c>
      <c r="I580">
        <f t="shared" si="9"/>
        <v>32.700000000000003</v>
      </c>
    </row>
    <row r="581" spans="1:9" x14ac:dyDescent="0.25">
      <c r="A581">
        <v>2845</v>
      </c>
      <c r="B581" s="1">
        <v>45352</v>
      </c>
      <c r="C581">
        <v>71</v>
      </c>
      <c r="D581">
        <v>5</v>
      </c>
      <c r="E581">
        <v>6</v>
      </c>
      <c r="F581">
        <v>3</v>
      </c>
      <c r="G581" t="s">
        <v>1044</v>
      </c>
      <c r="H581">
        <f>_xlfn.XLOOKUP(D581, productos!$A$2:$A$150, productos!$D$2:$D$150, "No Encontrado", 0)</f>
        <v>5.65</v>
      </c>
      <c r="I581">
        <f t="shared" si="9"/>
        <v>33.900000000000006</v>
      </c>
    </row>
    <row r="582" spans="1:9" x14ac:dyDescent="0.25">
      <c r="A582">
        <v>786</v>
      </c>
      <c r="B582" s="1">
        <v>45353</v>
      </c>
      <c r="C582">
        <v>292</v>
      </c>
      <c r="D582">
        <v>19</v>
      </c>
      <c r="E582">
        <v>6</v>
      </c>
      <c r="F582">
        <v>4</v>
      </c>
      <c r="G582" t="s">
        <v>1045</v>
      </c>
      <c r="H582">
        <f>_xlfn.XLOOKUP(D582, productos!$A$2:$A$150, productos!$D$2:$D$150, "No Encontrado", 0)</f>
        <v>6.54</v>
      </c>
      <c r="I582">
        <f t="shared" si="9"/>
        <v>39.24</v>
      </c>
    </row>
    <row r="583" spans="1:9" x14ac:dyDescent="0.25">
      <c r="A583">
        <v>2094</v>
      </c>
      <c r="B583" s="1">
        <v>45353</v>
      </c>
      <c r="C583">
        <v>276</v>
      </c>
      <c r="D583">
        <v>25</v>
      </c>
      <c r="E583">
        <v>5</v>
      </c>
      <c r="F583">
        <v>3</v>
      </c>
      <c r="G583" t="s">
        <v>1044</v>
      </c>
      <c r="H583">
        <f>_xlfn.XLOOKUP(D583, productos!$A$2:$A$150, productos!$D$2:$D$150, "No Encontrado", 0)</f>
        <v>15.45</v>
      </c>
      <c r="I583">
        <f t="shared" si="9"/>
        <v>77.25</v>
      </c>
    </row>
    <row r="584" spans="1:9" x14ac:dyDescent="0.25">
      <c r="A584">
        <v>2278</v>
      </c>
      <c r="B584" s="1">
        <v>45353</v>
      </c>
      <c r="C584">
        <v>163</v>
      </c>
      <c r="D584">
        <v>5</v>
      </c>
      <c r="E584">
        <v>3</v>
      </c>
      <c r="F584">
        <v>5</v>
      </c>
      <c r="G584" t="s">
        <v>1044</v>
      </c>
      <c r="H584">
        <f>_xlfn.XLOOKUP(D584, productos!$A$2:$A$150, productos!$D$2:$D$150, "No Encontrado", 0)</f>
        <v>5.65</v>
      </c>
      <c r="I584">
        <f t="shared" si="9"/>
        <v>16.950000000000003</v>
      </c>
    </row>
    <row r="585" spans="1:9" x14ac:dyDescent="0.25">
      <c r="A585">
        <v>365</v>
      </c>
      <c r="B585" s="1">
        <v>45354</v>
      </c>
      <c r="C585">
        <v>90</v>
      </c>
      <c r="D585">
        <v>8</v>
      </c>
      <c r="E585">
        <v>5</v>
      </c>
      <c r="F585">
        <v>5</v>
      </c>
      <c r="G585" t="s">
        <v>1044</v>
      </c>
      <c r="H585">
        <f>_xlfn.XLOOKUP(D585, productos!$A$2:$A$150, productos!$D$2:$D$150, "No Encontrado", 0)</f>
        <v>16.21</v>
      </c>
      <c r="I585">
        <f t="shared" si="9"/>
        <v>81.050000000000011</v>
      </c>
    </row>
    <row r="586" spans="1:9" x14ac:dyDescent="0.25">
      <c r="A586">
        <v>382</v>
      </c>
      <c r="B586" s="1">
        <v>45354</v>
      </c>
      <c r="C586">
        <v>208</v>
      </c>
      <c r="D586">
        <v>12</v>
      </c>
      <c r="E586">
        <v>1</v>
      </c>
      <c r="F586">
        <v>3</v>
      </c>
      <c r="G586" t="s">
        <v>1044</v>
      </c>
      <c r="H586">
        <f>_xlfn.XLOOKUP(D586, productos!$A$2:$A$150, productos!$D$2:$D$150, "No Encontrado", 0)</f>
        <v>8.1199999999999992</v>
      </c>
      <c r="I586">
        <f t="shared" si="9"/>
        <v>8.1199999999999992</v>
      </c>
    </row>
    <row r="587" spans="1:9" x14ac:dyDescent="0.25">
      <c r="A587">
        <v>428</v>
      </c>
      <c r="B587" s="1">
        <v>45354</v>
      </c>
      <c r="C587">
        <v>308</v>
      </c>
      <c r="D587">
        <v>28</v>
      </c>
      <c r="E587">
        <v>4</v>
      </c>
      <c r="F587">
        <v>5</v>
      </c>
      <c r="G587" t="s">
        <v>1044</v>
      </c>
      <c r="H587">
        <f>_xlfn.XLOOKUP(D587, productos!$A$2:$A$150, productos!$D$2:$D$150, "No Encontrado", 0)</f>
        <v>9.4499999999999993</v>
      </c>
      <c r="I587">
        <f t="shared" si="9"/>
        <v>37.799999999999997</v>
      </c>
    </row>
    <row r="588" spans="1:9" x14ac:dyDescent="0.25">
      <c r="A588">
        <v>610</v>
      </c>
      <c r="B588" s="1">
        <v>45354</v>
      </c>
      <c r="C588">
        <v>197</v>
      </c>
      <c r="D588">
        <v>38</v>
      </c>
      <c r="E588">
        <v>3</v>
      </c>
      <c r="F588">
        <v>4</v>
      </c>
      <c r="G588" t="s">
        <v>1045</v>
      </c>
      <c r="H588">
        <f>_xlfn.XLOOKUP(D588, productos!$A$2:$A$150, productos!$D$2:$D$150, "No Encontrado", 0)</f>
        <v>6.21</v>
      </c>
      <c r="I588">
        <f t="shared" si="9"/>
        <v>18.63</v>
      </c>
    </row>
    <row r="589" spans="1:9" x14ac:dyDescent="0.25">
      <c r="A589">
        <v>1069</v>
      </c>
      <c r="B589" s="1">
        <v>45354</v>
      </c>
      <c r="C589">
        <v>37</v>
      </c>
      <c r="D589">
        <v>26</v>
      </c>
      <c r="E589">
        <v>1</v>
      </c>
      <c r="F589">
        <v>5</v>
      </c>
      <c r="G589" t="s">
        <v>1044</v>
      </c>
      <c r="H589">
        <f>_xlfn.XLOOKUP(D589, productos!$A$2:$A$150, productos!$D$2:$D$150, "No Encontrado", 0)</f>
        <v>9.5399999999999991</v>
      </c>
      <c r="I589">
        <f t="shared" si="9"/>
        <v>9.5399999999999991</v>
      </c>
    </row>
    <row r="590" spans="1:9" x14ac:dyDescent="0.25">
      <c r="A590">
        <v>1164</v>
      </c>
      <c r="B590" s="1">
        <v>45354</v>
      </c>
      <c r="C590">
        <v>97</v>
      </c>
      <c r="D590">
        <v>12</v>
      </c>
      <c r="E590">
        <v>3</v>
      </c>
      <c r="F590">
        <v>4</v>
      </c>
      <c r="G590" t="s">
        <v>1045</v>
      </c>
      <c r="H590">
        <f>_xlfn.XLOOKUP(D590, productos!$A$2:$A$150, productos!$D$2:$D$150, "No Encontrado", 0)</f>
        <v>8.1199999999999992</v>
      </c>
      <c r="I590">
        <f t="shared" si="9"/>
        <v>24.36</v>
      </c>
    </row>
    <row r="591" spans="1:9" x14ac:dyDescent="0.25">
      <c r="A591">
        <v>1214</v>
      </c>
      <c r="B591" s="1">
        <v>45354</v>
      </c>
      <c r="C591">
        <v>67</v>
      </c>
      <c r="D591">
        <v>5</v>
      </c>
      <c r="E591">
        <v>1</v>
      </c>
      <c r="F591">
        <v>4</v>
      </c>
      <c r="G591" t="s">
        <v>1044</v>
      </c>
      <c r="H591">
        <f>_xlfn.XLOOKUP(D591, productos!$A$2:$A$150, productos!$D$2:$D$150, "No Encontrado", 0)</f>
        <v>5.65</v>
      </c>
      <c r="I591">
        <f t="shared" si="9"/>
        <v>5.65</v>
      </c>
    </row>
    <row r="592" spans="1:9" x14ac:dyDescent="0.25">
      <c r="A592">
        <v>1501</v>
      </c>
      <c r="B592" s="1">
        <v>45354</v>
      </c>
      <c r="C592">
        <v>42</v>
      </c>
      <c r="D592">
        <v>29</v>
      </c>
      <c r="E592">
        <v>5</v>
      </c>
      <c r="F592">
        <v>5</v>
      </c>
      <c r="G592" t="s">
        <v>1044</v>
      </c>
      <c r="H592">
        <f>_xlfn.XLOOKUP(D592, productos!$A$2:$A$150, productos!$D$2:$D$150, "No Encontrado", 0)</f>
        <v>11.54</v>
      </c>
      <c r="I592">
        <f t="shared" si="9"/>
        <v>57.699999999999996</v>
      </c>
    </row>
    <row r="593" spans="1:9" x14ac:dyDescent="0.25">
      <c r="A593">
        <v>1730</v>
      </c>
      <c r="B593" s="1">
        <v>45354</v>
      </c>
      <c r="C593">
        <v>160</v>
      </c>
      <c r="D593">
        <v>33</v>
      </c>
      <c r="E593">
        <v>6</v>
      </c>
      <c r="F593">
        <v>3</v>
      </c>
      <c r="G593" t="s">
        <v>1044</v>
      </c>
      <c r="H593">
        <f>_xlfn.XLOOKUP(D593, productos!$A$2:$A$150, productos!$D$2:$D$150, "No Encontrado", 0)</f>
        <v>8.5399999999999991</v>
      </c>
      <c r="I593">
        <f t="shared" si="9"/>
        <v>51.239999999999995</v>
      </c>
    </row>
    <row r="594" spans="1:9" x14ac:dyDescent="0.25">
      <c r="A594">
        <v>1867</v>
      </c>
      <c r="B594" s="1">
        <v>45354</v>
      </c>
      <c r="C594">
        <v>132</v>
      </c>
      <c r="D594">
        <v>22</v>
      </c>
      <c r="E594">
        <v>6</v>
      </c>
      <c r="F594">
        <v>5</v>
      </c>
      <c r="G594" t="s">
        <v>1045</v>
      </c>
      <c r="H594">
        <f>_xlfn.XLOOKUP(D594, productos!$A$2:$A$150, productos!$D$2:$D$150, "No Encontrado", 0)</f>
        <v>4.21</v>
      </c>
      <c r="I594">
        <f t="shared" si="9"/>
        <v>25.259999999999998</v>
      </c>
    </row>
    <row r="595" spans="1:9" x14ac:dyDescent="0.25">
      <c r="A595">
        <v>2042</v>
      </c>
      <c r="B595" s="1">
        <v>45354</v>
      </c>
      <c r="C595">
        <v>221</v>
      </c>
      <c r="D595">
        <v>22</v>
      </c>
      <c r="E595">
        <v>6</v>
      </c>
      <c r="F595">
        <v>5</v>
      </c>
      <c r="G595" t="s">
        <v>1044</v>
      </c>
      <c r="H595">
        <f>_xlfn.XLOOKUP(D595, productos!$A$2:$A$150, productos!$D$2:$D$150, "No Encontrado", 0)</f>
        <v>4.21</v>
      </c>
      <c r="I595">
        <f t="shared" si="9"/>
        <v>25.259999999999998</v>
      </c>
    </row>
    <row r="596" spans="1:9" x14ac:dyDescent="0.25">
      <c r="A596">
        <v>2327</v>
      </c>
      <c r="B596" s="1">
        <v>45354</v>
      </c>
      <c r="C596">
        <v>62</v>
      </c>
      <c r="D596">
        <v>26</v>
      </c>
      <c r="E596">
        <v>4</v>
      </c>
      <c r="F596">
        <v>5</v>
      </c>
      <c r="G596" t="s">
        <v>1044</v>
      </c>
      <c r="H596">
        <f>_xlfn.XLOOKUP(D596, productos!$A$2:$A$150, productos!$D$2:$D$150, "No Encontrado", 0)</f>
        <v>9.5399999999999991</v>
      </c>
      <c r="I596">
        <f t="shared" si="9"/>
        <v>38.159999999999997</v>
      </c>
    </row>
    <row r="597" spans="1:9" x14ac:dyDescent="0.25">
      <c r="A597">
        <v>2391</v>
      </c>
      <c r="B597" s="1">
        <v>45354</v>
      </c>
      <c r="C597">
        <v>271</v>
      </c>
      <c r="D597">
        <v>32</v>
      </c>
      <c r="E597">
        <v>1</v>
      </c>
      <c r="F597">
        <v>4</v>
      </c>
      <c r="G597" t="s">
        <v>1044</v>
      </c>
      <c r="H597">
        <f>_xlfn.XLOOKUP(D597, productos!$A$2:$A$150, productos!$D$2:$D$150, "No Encontrado", 0)</f>
        <v>6.25</v>
      </c>
      <c r="I597">
        <f t="shared" si="9"/>
        <v>6.25</v>
      </c>
    </row>
    <row r="598" spans="1:9" x14ac:dyDescent="0.25">
      <c r="A598">
        <v>2420</v>
      </c>
      <c r="B598" s="1">
        <v>45354</v>
      </c>
      <c r="C598">
        <v>17</v>
      </c>
      <c r="D598">
        <v>1</v>
      </c>
      <c r="E598">
        <v>2</v>
      </c>
      <c r="F598">
        <v>2</v>
      </c>
      <c r="G598" t="s">
        <v>1044</v>
      </c>
      <c r="H598">
        <f>_xlfn.XLOOKUP(D598, productos!$A$2:$A$150, productos!$D$2:$D$150, "No Encontrado", 0)</f>
        <v>12.24</v>
      </c>
      <c r="I598">
        <f t="shared" si="9"/>
        <v>24.48</v>
      </c>
    </row>
    <row r="599" spans="1:9" x14ac:dyDescent="0.25">
      <c r="A599">
        <v>2778</v>
      </c>
      <c r="B599" s="1">
        <v>45354</v>
      </c>
      <c r="C599">
        <v>64</v>
      </c>
      <c r="D599">
        <v>32</v>
      </c>
      <c r="E599">
        <v>1</v>
      </c>
      <c r="F599">
        <v>4</v>
      </c>
      <c r="G599" t="s">
        <v>1044</v>
      </c>
      <c r="H599">
        <f>_xlfn.XLOOKUP(D599, productos!$A$2:$A$150, productos!$D$2:$D$150, "No Encontrado", 0)</f>
        <v>6.25</v>
      </c>
      <c r="I599">
        <f t="shared" si="9"/>
        <v>6.25</v>
      </c>
    </row>
    <row r="600" spans="1:9" x14ac:dyDescent="0.25">
      <c r="A600">
        <v>1531</v>
      </c>
      <c r="B600" s="1">
        <v>45355</v>
      </c>
      <c r="C600">
        <v>326</v>
      </c>
      <c r="D600">
        <v>14</v>
      </c>
      <c r="E600">
        <v>1</v>
      </c>
      <c r="F600">
        <v>3</v>
      </c>
      <c r="G600" t="s">
        <v>1045</v>
      </c>
      <c r="H600">
        <f>_xlfn.XLOOKUP(D600, productos!$A$2:$A$150, productos!$D$2:$D$150, "No Encontrado", 0)</f>
        <v>12.36</v>
      </c>
      <c r="I600">
        <f t="shared" si="9"/>
        <v>12.36</v>
      </c>
    </row>
    <row r="601" spans="1:9" x14ac:dyDescent="0.25">
      <c r="A601">
        <v>1737</v>
      </c>
      <c r="B601" s="1">
        <v>45355</v>
      </c>
      <c r="C601">
        <v>149</v>
      </c>
      <c r="D601">
        <v>21</v>
      </c>
      <c r="E601">
        <v>5</v>
      </c>
      <c r="F601">
        <v>5</v>
      </c>
      <c r="G601" t="s">
        <v>1044</v>
      </c>
      <c r="H601">
        <f>_xlfn.XLOOKUP(D601, productos!$A$2:$A$150, productos!$D$2:$D$150, "No Encontrado", 0)</f>
        <v>3.25</v>
      </c>
      <c r="I601">
        <f t="shared" si="9"/>
        <v>16.25</v>
      </c>
    </row>
    <row r="602" spans="1:9" x14ac:dyDescent="0.25">
      <c r="A602">
        <v>2547</v>
      </c>
      <c r="B602" s="1">
        <v>45355</v>
      </c>
      <c r="C602">
        <v>80</v>
      </c>
      <c r="D602">
        <v>2</v>
      </c>
      <c r="E602">
        <v>5</v>
      </c>
      <c r="F602">
        <v>3</v>
      </c>
      <c r="G602" t="s">
        <v>1044</v>
      </c>
      <c r="H602">
        <f>_xlfn.XLOOKUP(D602, productos!$A$2:$A$150, productos!$D$2:$D$150, "No Encontrado", 0)</f>
        <v>5.21</v>
      </c>
      <c r="I602">
        <f t="shared" si="9"/>
        <v>26.05</v>
      </c>
    </row>
    <row r="603" spans="1:9" x14ac:dyDescent="0.25">
      <c r="A603">
        <v>2913</v>
      </c>
      <c r="B603" s="1">
        <v>45355</v>
      </c>
      <c r="C603">
        <v>283</v>
      </c>
      <c r="D603">
        <v>10</v>
      </c>
      <c r="E603">
        <v>6</v>
      </c>
      <c r="F603">
        <v>5</v>
      </c>
      <c r="G603" t="s">
        <v>1044</v>
      </c>
      <c r="H603">
        <f>_xlfn.XLOOKUP(D603, productos!$A$2:$A$150, productos!$D$2:$D$150, "No Encontrado", 0)</f>
        <v>14.25</v>
      </c>
      <c r="I603">
        <f t="shared" si="9"/>
        <v>85.5</v>
      </c>
    </row>
    <row r="604" spans="1:9" x14ac:dyDescent="0.25">
      <c r="A604">
        <v>408</v>
      </c>
      <c r="B604" s="1">
        <v>45356</v>
      </c>
      <c r="C604">
        <v>7</v>
      </c>
      <c r="D604">
        <v>12</v>
      </c>
      <c r="E604">
        <v>5</v>
      </c>
      <c r="F604">
        <v>3</v>
      </c>
      <c r="G604" t="s">
        <v>1044</v>
      </c>
      <c r="H604">
        <f>_xlfn.XLOOKUP(D604, productos!$A$2:$A$150, productos!$D$2:$D$150, "No Encontrado", 0)</f>
        <v>8.1199999999999992</v>
      </c>
      <c r="I604">
        <f t="shared" si="9"/>
        <v>40.599999999999994</v>
      </c>
    </row>
    <row r="605" spans="1:9" x14ac:dyDescent="0.25">
      <c r="A605">
        <v>1171</v>
      </c>
      <c r="B605" s="1">
        <v>45356</v>
      </c>
      <c r="C605">
        <v>8</v>
      </c>
      <c r="D605">
        <v>14</v>
      </c>
      <c r="E605">
        <v>5</v>
      </c>
      <c r="F605">
        <v>3</v>
      </c>
      <c r="G605" t="s">
        <v>1044</v>
      </c>
      <c r="H605">
        <f>_xlfn.XLOOKUP(D605, productos!$A$2:$A$150, productos!$D$2:$D$150, "No Encontrado", 0)</f>
        <v>12.36</v>
      </c>
      <c r="I605">
        <f t="shared" si="9"/>
        <v>61.8</v>
      </c>
    </row>
    <row r="606" spans="1:9" x14ac:dyDescent="0.25">
      <c r="A606">
        <v>1589</v>
      </c>
      <c r="B606" s="1">
        <v>45356</v>
      </c>
      <c r="C606">
        <v>112</v>
      </c>
      <c r="D606">
        <v>26</v>
      </c>
      <c r="E606">
        <v>2</v>
      </c>
      <c r="F606">
        <v>4</v>
      </c>
      <c r="G606" t="s">
        <v>1045</v>
      </c>
      <c r="H606">
        <f>_xlfn.XLOOKUP(D606, productos!$A$2:$A$150, productos!$D$2:$D$150, "No Encontrado", 0)</f>
        <v>9.5399999999999991</v>
      </c>
      <c r="I606">
        <f t="shared" si="9"/>
        <v>19.079999999999998</v>
      </c>
    </row>
    <row r="607" spans="1:9" x14ac:dyDescent="0.25">
      <c r="A607">
        <v>2479</v>
      </c>
      <c r="B607" s="1">
        <v>45356</v>
      </c>
      <c r="C607">
        <v>85</v>
      </c>
      <c r="D607">
        <v>34</v>
      </c>
      <c r="E607">
        <v>5</v>
      </c>
      <c r="F607">
        <v>5</v>
      </c>
      <c r="G607" t="s">
        <v>1044</v>
      </c>
      <c r="H607">
        <f>_xlfn.XLOOKUP(D607, productos!$A$2:$A$150, productos!$D$2:$D$150, "No Encontrado", 0)</f>
        <v>5.45</v>
      </c>
      <c r="I607">
        <f t="shared" si="9"/>
        <v>27.25</v>
      </c>
    </row>
    <row r="608" spans="1:9" x14ac:dyDescent="0.25">
      <c r="A608">
        <v>2669</v>
      </c>
      <c r="B608" s="1">
        <v>45356</v>
      </c>
      <c r="C608">
        <v>68</v>
      </c>
      <c r="D608">
        <v>2</v>
      </c>
      <c r="E608">
        <v>5</v>
      </c>
      <c r="F608">
        <v>1</v>
      </c>
      <c r="G608" t="s">
        <v>1045</v>
      </c>
      <c r="H608">
        <f>_xlfn.XLOOKUP(D608, productos!$A$2:$A$150, productos!$D$2:$D$150, "No Encontrado", 0)</f>
        <v>5.21</v>
      </c>
      <c r="I608">
        <f t="shared" si="9"/>
        <v>26.05</v>
      </c>
    </row>
    <row r="609" spans="1:9" x14ac:dyDescent="0.25">
      <c r="A609">
        <v>916</v>
      </c>
      <c r="B609" s="1">
        <v>45357</v>
      </c>
      <c r="C609">
        <v>307</v>
      </c>
      <c r="D609">
        <v>17</v>
      </c>
      <c r="E609">
        <v>3</v>
      </c>
      <c r="F609">
        <v>3</v>
      </c>
      <c r="G609" t="s">
        <v>1045</v>
      </c>
      <c r="H609">
        <f>_xlfn.XLOOKUP(D609, productos!$A$2:$A$150, productos!$D$2:$D$150, "No Encontrado", 0)</f>
        <v>6.54</v>
      </c>
      <c r="I609">
        <f t="shared" si="9"/>
        <v>19.62</v>
      </c>
    </row>
    <row r="610" spans="1:9" x14ac:dyDescent="0.25">
      <c r="A610">
        <v>1524</v>
      </c>
      <c r="B610" s="1">
        <v>45357</v>
      </c>
      <c r="C610">
        <v>292</v>
      </c>
      <c r="D610">
        <v>34</v>
      </c>
      <c r="E610">
        <v>2</v>
      </c>
      <c r="F610">
        <v>5</v>
      </c>
      <c r="G610" t="s">
        <v>1044</v>
      </c>
      <c r="H610">
        <f>_xlfn.XLOOKUP(D610, productos!$A$2:$A$150, productos!$D$2:$D$150, "No Encontrado", 0)</f>
        <v>5.45</v>
      </c>
      <c r="I610">
        <f t="shared" si="9"/>
        <v>10.9</v>
      </c>
    </row>
    <row r="611" spans="1:9" x14ac:dyDescent="0.25">
      <c r="A611">
        <v>2157</v>
      </c>
      <c r="B611" s="1">
        <v>45357</v>
      </c>
      <c r="C611">
        <v>193</v>
      </c>
      <c r="D611">
        <v>2</v>
      </c>
      <c r="E611">
        <v>1</v>
      </c>
      <c r="F611">
        <v>3</v>
      </c>
      <c r="G611" t="s">
        <v>1044</v>
      </c>
      <c r="H611">
        <f>_xlfn.XLOOKUP(D611, productos!$A$2:$A$150, productos!$D$2:$D$150, "No Encontrado", 0)</f>
        <v>5.21</v>
      </c>
      <c r="I611">
        <f t="shared" si="9"/>
        <v>5.21</v>
      </c>
    </row>
    <row r="612" spans="1:9" x14ac:dyDescent="0.25">
      <c r="A612">
        <v>2301</v>
      </c>
      <c r="B612" s="1">
        <v>45357</v>
      </c>
      <c r="C612">
        <v>321</v>
      </c>
      <c r="D612">
        <v>7</v>
      </c>
      <c r="E612">
        <v>1</v>
      </c>
      <c r="F612">
        <v>1</v>
      </c>
      <c r="G612" t="s">
        <v>1044</v>
      </c>
      <c r="H612">
        <f>_xlfn.XLOOKUP(D612, productos!$A$2:$A$150, productos!$D$2:$D$150, "No Encontrado", 0)</f>
        <v>11.25</v>
      </c>
      <c r="I612">
        <f t="shared" si="9"/>
        <v>11.25</v>
      </c>
    </row>
    <row r="613" spans="1:9" x14ac:dyDescent="0.25">
      <c r="A613">
        <v>2665</v>
      </c>
      <c r="B613" s="1">
        <v>45357</v>
      </c>
      <c r="C613">
        <v>36</v>
      </c>
      <c r="D613">
        <v>20</v>
      </c>
      <c r="E613">
        <v>6</v>
      </c>
      <c r="F613">
        <v>5</v>
      </c>
      <c r="G613" t="s">
        <v>1045</v>
      </c>
      <c r="H613">
        <f>_xlfn.XLOOKUP(D613, productos!$A$2:$A$150, productos!$D$2:$D$150, "No Encontrado", 0)</f>
        <v>4.25</v>
      </c>
      <c r="I613">
        <f t="shared" si="9"/>
        <v>25.5</v>
      </c>
    </row>
    <row r="614" spans="1:9" x14ac:dyDescent="0.25">
      <c r="A614">
        <v>556</v>
      </c>
      <c r="B614" s="1">
        <v>45358</v>
      </c>
      <c r="C614">
        <v>104</v>
      </c>
      <c r="D614">
        <v>23</v>
      </c>
      <c r="E614">
        <v>5</v>
      </c>
      <c r="F614">
        <v>1</v>
      </c>
      <c r="G614" t="s">
        <v>1045</v>
      </c>
      <c r="H614">
        <f>_xlfn.XLOOKUP(D614, productos!$A$2:$A$150, productos!$D$2:$D$150, "No Encontrado", 0)</f>
        <v>8.23</v>
      </c>
      <c r="I614">
        <f t="shared" si="9"/>
        <v>41.150000000000006</v>
      </c>
    </row>
    <row r="615" spans="1:9" x14ac:dyDescent="0.25">
      <c r="A615">
        <v>606</v>
      </c>
      <c r="B615" s="1">
        <v>45358</v>
      </c>
      <c r="C615">
        <v>46</v>
      </c>
      <c r="D615">
        <v>20</v>
      </c>
      <c r="E615">
        <v>2</v>
      </c>
      <c r="F615">
        <v>5</v>
      </c>
      <c r="G615" t="s">
        <v>1044</v>
      </c>
      <c r="H615">
        <f>_xlfn.XLOOKUP(D615, productos!$A$2:$A$150, productos!$D$2:$D$150, "No Encontrado", 0)</f>
        <v>4.25</v>
      </c>
      <c r="I615">
        <f t="shared" si="9"/>
        <v>8.5</v>
      </c>
    </row>
    <row r="616" spans="1:9" x14ac:dyDescent="0.25">
      <c r="A616">
        <v>820</v>
      </c>
      <c r="B616" s="1">
        <v>45358</v>
      </c>
      <c r="C616">
        <v>148</v>
      </c>
      <c r="D616">
        <v>7</v>
      </c>
      <c r="E616">
        <v>3</v>
      </c>
      <c r="F616">
        <v>5</v>
      </c>
      <c r="G616" t="s">
        <v>1044</v>
      </c>
      <c r="H616">
        <f>_xlfn.XLOOKUP(D616, productos!$A$2:$A$150, productos!$D$2:$D$150, "No Encontrado", 0)</f>
        <v>11.25</v>
      </c>
      <c r="I616">
        <f t="shared" si="9"/>
        <v>33.75</v>
      </c>
    </row>
    <row r="617" spans="1:9" x14ac:dyDescent="0.25">
      <c r="A617">
        <v>1185</v>
      </c>
      <c r="B617" s="1">
        <v>45358</v>
      </c>
      <c r="C617">
        <v>58</v>
      </c>
      <c r="D617">
        <v>22</v>
      </c>
      <c r="E617">
        <v>2</v>
      </c>
      <c r="F617">
        <v>4</v>
      </c>
      <c r="G617" t="s">
        <v>1045</v>
      </c>
      <c r="H617">
        <f>_xlfn.XLOOKUP(D617, productos!$A$2:$A$150, productos!$D$2:$D$150, "No Encontrado", 0)</f>
        <v>4.21</v>
      </c>
      <c r="I617">
        <f t="shared" si="9"/>
        <v>8.42</v>
      </c>
    </row>
    <row r="618" spans="1:9" x14ac:dyDescent="0.25">
      <c r="A618">
        <v>1444</v>
      </c>
      <c r="B618" s="1">
        <v>45358</v>
      </c>
      <c r="C618">
        <v>23</v>
      </c>
      <c r="D618">
        <v>25</v>
      </c>
      <c r="E618">
        <v>4</v>
      </c>
      <c r="F618">
        <v>4</v>
      </c>
      <c r="G618" t="s">
        <v>1044</v>
      </c>
      <c r="H618">
        <f>_xlfn.XLOOKUP(D618, productos!$A$2:$A$150, productos!$D$2:$D$150, "No Encontrado", 0)</f>
        <v>15.45</v>
      </c>
      <c r="I618">
        <f t="shared" si="9"/>
        <v>61.8</v>
      </c>
    </row>
    <row r="619" spans="1:9" x14ac:dyDescent="0.25">
      <c r="A619">
        <v>1756</v>
      </c>
      <c r="B619" s="1">
        <v>45358</v>
      </c>
      <c r="C619">
        <v>309</v>
      </c>
      <c r="D619">
        <v>13</v>
      </c>
      <c r="E619">
        <v>5</v>
      </c>
      <c r="F619">
        <v>4</v>
      </c>
      <c r="G619" t="s">
        <v>1044</v>
      </c>
      <c r="H619">
        <f>_xlfn.XLOOKUP(D619, productos!$A$2:$A$150, productos!$D$2:$D$150, "No Encontrado", 0)</f>
        <v>12.56</v>
      </c>
      <c r="I619">
        <f t="shared" si="9"/>
        <v>62.800000000000004</v>
      </c>
    </row>
    <row r="620" spans="1:9" x14ac:dyDescent="0.25">
      <c r="A620">
        <v>1796</v>
      </c>
      <c r="B620" s="1">
        <v>45358</v>
      </c>
      <c r="C620">
        <v>32</v>
      </c>
      <c r="D620">
        <v>4</v>
      </c>
      <c r="E620">
        <v>2</v>
      </c>
      <c r="F620">
        <v>4</v>
      </c>
      <c r="G620" t="s">
        <v>1044</v>
      </c>
      <c r="H620">
        <f>_xlfn.XLOOKUP(D620, productos!$A$2:$A$150, productos!$D$2:$D$150, "No Encontrado", 0)</f>
        <v>19.23</v>
      </c>
      <c r="I620">
        <f t="shared" si="9"/>
        <v>38.46</v>
      </c>
    </row>
    <row r="621" spans="1:9" x14ac:dyDescent="0.25">
      <c r="A621">
        <v>2156</v>
      </c>
      <c r="B621" s="1">
        <v>45358</v>
      </c>
      <c r="C621">
        <v>193</v>
      </c>
      <c r="D621">
        <v>26</v>
      </c>
      <c r="E621">
        <v>5</v>
      </c>
      <c r="F621">
        <v>1</v>
      </c>
      <c r="G621" t="s">
        <v>1044</v>
      </c>
      <c r="H621">
        <f>_xlfn.XLOOKUP(D621, productos!$A$2:$A$150, productos!$D$2:$D$150, "No Encontrado", 0)</f>
        <v>9.5399999999999991</v>
      </c>
      <c r="I621">
        <f t="shared" si="9"/>
        <v>47.699999999999996</v>
      </c>
    </row>
    <row r="622" spans="1:9" x14ac:dyDescent="0.25">
      <c r="A622">
        <v>2175</v>
      </c>
      <c r="B622" s="1">
        <v>45358</v>
      </c>
      <c r="C622">
        <v>255</v>
      </c>
      <c r="D622">
        <v>3</v>
      </c>
      <c r="E622">
        <v>1</v>
      </c>
      <c r="F622">
        <v>4</v>
      </c>
      <c r="G622" t="s">
        <v>1044</v>
      </c>
      <c r="H622">
        <f>_xlfn.XLOOKUP(D622, productos!$A$2:$A$150, productos!$D$2:$D$150, "No Encontrado", 0)</f>
        <v>17.23</v>
      </c>
      <c r="I622">
        <f t="shared" si="9"/>
        <v>17.23</v>
      </c>
    </row>
    <row r="623" spans="1:9" x14ac:dyDescent="0.25">
      <c r="A623">
        <v>2183</v>
      </c>
      <c r="B623" s="1">
        <v>45358</v>
      </c>
      <c r="C623">
        <v>38</v>
      </c>
      <c r="D623">
        <v>36</v>
      </c>
      <c r="E623">
        <v>4</v>
      </c>
      <c r="F623">
        <v>1</v>
      </c>
      <c r="G623" t="s">
        <v>1044</v>
      </c>
      <c r="H623">
        <f>_xlfn.XLOOKUP(D623, productos!$A$2:$A$150, productos!$D$2:$D$150, "No Encontrado", 0)</f>
        <v>3.25</v>
      </c>
      <c r="I623">
        <f t="shared" si="9"/>
        <v>13</v>
      </c>
    </row>
    <row r="624" spans="1:9" x14ac:dyDescent="0.25">
      <c r="A624">
        <v>2366</v>
      </c>
      <c r="B624" s="1">
        <v>45358</v>
      </c>
      <c r="C624">
        <v>222</v>
      </c>
      <c r="D624">
        <v>17</v>
      </c>
      <c r="E624">
        <v>2</v>
      </c>
      <c r="F624">
        <v>4</v>
      </c>
      <c r="G624" t="s">
        <v>1044</v>
      </c>
      <c r="H624">
        <f>_xlfn.XLOOKUP(D624, productos!$A$2:$A$150, productos!$D$2:$D$150, "No Encontrado", 0)</f>
        <v>6.54</v>
      </c>
      <c r="I624">
        <f t="shared" si="9"/>
        <v>13.08</v>
      </c>
    </row>
    <row r="625" spans="1:9" x14ac:dyDescent="0.25">
      <c r="A625">
        <v>2732</v>
      </c>
      <c r="B625" s="1">
        <v>45358</v>
      </c>
      <c r="C625">
        <v>311</v>
      </c>
      <c r="D625">
        <v>4</v>
      </c>
      <c r="E625">
        <v>6</v>
      </c>
      <c r="F625">
        <v>3</v>
      </c>
      <c r="G625" t="s">
        <v>1044</v>
      </c>
      <c r="H625">
        <f>_xlfn.XLOOKUP(D625, productos!$A$2:$A$150, productos!$D$2:$D$150, "No Encontrado", 0)</f>
        <v>19.23</v>
      </c>
      <c r="I625">
        <f t="shared" si="9"/>
        <v>115.38</v>
      </c>
    </row>
    <row r="626" spans="1:9" x14ac:dyDescent="0.25">
      <c r="A626">
        <v>438</v>
      </c>
      <c r="B626" s="1">
        <v>45359</v>
      </c>
      <c r="C626">
        <v>307</v>
      </c>
      <c r="D626">
        <v>29</v>
      </c>
      <c r="E626">
        <v>5</v>
      </c>
      <c r="F626">
        <v>2</v>
      </c>
      <c r="G626" t="s">
        <v>1044</v>
      </c>
      <c r="H626">
        <f>_xlfn.XLOOKUP(D626, productos!$A$2:$A$150, productos!$D$2:$D$150, "No Encontrado", 0)</f>
        <v>11.54</v>
      </c>
      <c r="I626">
        <f t="shared" si="9"/>
        <v>57.699999999999996</v>
      </c>
    </row>
    <row r="627" spans="1:9" x14ac:dyDescent="0.25">
      <c r="A627">
        <v>620</v>
      </c>
      <c r="B627" s="1">
        <v>45359</v>
      </c>
      <c r="C627">
        <v>257</v>
      </c>
      <c r="D627">
        <v>21</v>
      </c>
      <c r="E627">
        <v>6</v>
      </c>
      <c r="F627">
        <v>3</v>
      </c>
      <c r="G627" t="s">
        <v>1044</v>
      </c>
      <c r="H627">
        <f>_xlfn.XLOOKUP(D627, productos!$A$2:$A$150, productos!$D$2:$D$150, "No Encontrado", 0)</f>
        <v>3.25</v>
      </c>
      <c r="I627">
        <f t="shared" si="9"/>
        <v>19.5</v>
      </c>
    </row>
    <row r="628" spans="1:9" x14ac:dyDescent="0.25">
      <c r="A628">
        <v>876</v>
      </c>
      <c r="B628" s="1">
        <v>45359</v>
      </c>
      <c r="C628">
        <v>42</v>
      </c>
      <c r="D628">
        <v>23</v>
      </c>
      <c r="E628">
        <v>3</v>
      </c>
      <c r="F628">
        <v>2</v>
      </c>
      <c r="G628" t="s">
        <v>1044</v>
      </c>
      <c r="H628">
        <f>_xlfn.XLOOKUP(D628, productos!$A$2:$A$150, productos!$D$2:$D$150, "No Encontrado", 0)</f>
        <v>8.23</v>
      </c>
      <c r="I628">
        <f t="shared" si="9"/>
        <v>24.69</v>
      </c>
    </row>
    <row r="629" spans="1:9" x14ac:dyDescent="0.25">
      <c r="A629">
        <v>1226</v>
      </c>
      <c r="B629" s="1">
        <v>45359</v>
      </c>
      <c r="C629">
        <v>91</v>
      </c>
      <c r="D629">
        <v>35</v>
      </c>
      <c r="E629">
        <v>6</v>
      </c>
      <c r="F629">
        <v>5</v>
      </c>
      <c r="G629" t="s">
        <v>1044</v>
      </c>
      <c r="H629">
        <f>_xlfn.XLOOKUP(D629, productos!$A$2:$A$150, productos!$D$2:$D$150, "No Encontrado", 0)</f>
        <v>4.25</v>
      </c>
      <c r="I629">
        <f t="shared" si="9"/>
        <v>25.5</v>
      </c>
    </row>
    <row r="630" spans="1:9" x14ac:dyDescent="0.25">
      <c r="A630">
        <v>1463</v>
      </c>
      <c r="B630" s="1">
        <v>45359</v>
      </c>
      <c r="C630">
        <v>299</v>
      </c>
      <c r="D630">
        <v>17</v>
      </c>
      <c r="E630">
        <v>4</v>
      </c>
      <c r="F630">
        <v>2</v>
      </c>
      <c r="G630" t="s">
        <v>1044</v>
      </c>
      <c r="H630">
        <f>_xlfn.XLOOKUP(D630, productos!$A$2:$A$150, productos!$D$2:$D$150, "No Encontrado", 0)</f>
        <v>6.54</v>
      </c>
      <c r="I630">
        <f t="shared" si="9"/>
        <v>26.16</v>
      </c>
    </row>
    <row r="631" spans="1:9" x14ac:dyDescent="0.25">
      <c r="A631">
        <v>1577</v>
      </c>
      <c r="B631" s="1">
        <v>45359</v>
      </c>
      <c r="C631">
        <v>25</v>
      </c>
      <c r="D631">
        <v>26</v>
      </c>
      <c r="E631">
        <v>5</v>
      </c>
      <c r="F631">
        <v>4</v>
      </c>
      <c r="G631" t="s">
        <v>1045</v>
      </c>
      <c r="H631">
        <f>_xlfn.XLOOKUP(D631, productos!$A$2:$A$150, productos!$D$2:$D$150, "No Encontrado", 0)</f>
        <v>9.5399999999999991</v>
      </c>
      <c r="I631">
        <f t="shared" si="9"/>
        <v>47.699999999999996</v>
      </c>
    </row>
    <row r="632" spans="1:9" x14ac:dyDescent="0.25">
      <c r="A632">
        <v>2398</v>
      </c>
      <c r="B632" s="1">
        <v>45359</v>
      </c>
      <c r="C632">
        <v>203</v>
      </c>
      <c r="D632">
        <v>30</v>
      </c>
      <c r="E632">
        <v>1</v>
      </c>
      <c r="F632">
        <v>4</v>
      </c>
      <c r="G632" t="s">
        <v>1044</v>
      </c>
      <c r="H632">
        <f>_xlfn.XLOOKUP(D632, productos!$A$2:$A$150, productos!$D$2:$D$150, "No Encontrado", 0)</f>
        <v>13.54</v>
      </c>
      <c r="I632">
        <f t="shared" si="9"/>
        <v>13.54</v>
      </c>
    </row>
    <row r="633" spans="1:9" x14ac:dyDescent="0.25">
      <c r="A633">
        <v>362</v>
      </c>
      <c r="B633" s="1">
        <v>45360</v>
      </c>
      <c r="C633">
        <v>30</v>
      </c>
      <c r="D633">
        <v>15</v>
      </c>
      <c r="E633">
        <v>2</v>
      </c>
      <c r="F633">
        <v>4</v>
      </c>
      <c r="G633" t="s">
        <v>1044</v>
      </c>
      <c r="H633">
        <f>_xlfn.XLOOKUP(D633, productos!$A$2:$A$150, productos!$D$2:$D$150, "No Encontrado", 0)</f>
        <v>3.51</v>
      </c>
      <c r="I633">
        <f t="shared" si="9"/>
        <v>7.02</v>
      </c>
    </row>
    <row r="634" spans="1:9" x14ac:dyDescent="0.25">
      <c r="A634">
        <v>444</v>
      </c>
      <c r="B634" s="1">
        <v>45360</v>
      </c>
      <c r="C634">
        <v>164</v>
      </c>
      <c r="D634">
        <v>9</v>
      </c>
      <c r="E634">
        <v>6</v>
      </c>
      <c r="F634">
        <v>5</v>
      </c>
      <c r="G634" t="s">
        <v>1044</v>
      </c>
      <c r="H634">
        <f>_xlfn.XLOOKUP(D634, productos!$A$2:$A$150, productos!$D$2:$D$150, "No Encontrado", 0)</f>
        <v>18.559999999999999</v>
      </c>
      <c r="I634">
        <f t="shared" si="9"/>
        <v>111.35999999999999</v>
      </c>
    </row>
    <row r="635" spans="1:9" x14ac:dyDescent="0.25">
      <c r="A635">
        <v>790</v>
      </c>
      <c r="B635" s="1">
        <v>45360</v>
      </c>
      <c r="C635">
        <v>119</v>
      </c>
      <c r="D635">
        <v>24</v>
      </c>
      <c r="E635">
        <v>6</v>
      </c>
      <c r="F635">
        <v>1</v>
      </c>
      <c r="G635" t="s">
        <v>1044</v>
      </c>
      <c r="H635">
        <f>_xlfn.XLOOKUP(D635, productos!$A$2:$A$150, productos!$D$2:$D$150, "No Encontrado", 0)</f>
        <v>13.54</v>
      </c>
      <c r="I635">
        <f t="shared" si="9"/>
        <v>81.239999999999995</v>
      </c>
    </row>
    <row r="636" spans="1:9" x14ac:dyDescent="0.25">
      <c r="A636">
        <v>1634</v>
      </c>
      <c r="B636" s="1">
        <v>45360</v>
      </c>
      <c r="C636">
        <v>206</v>
      </c>
      <c r="D636">
        <v>14</v>
      </c>
      <c r="E636">
        <v>3</v>
      </c>
      <c r="F636">
        <v>5</v>
      </c>
      <c r="G636" t="s">
        <v>1045</v>
      </c>
      <c r="H636">
        <f>_xlfn.XLOOKUP(D636, productos!$A$2:$A$150, productos!$D$2:$D$150, "No Encontrado", 0)</f>
        <v>12.36</v>
      </c>
      <c r="I636">
        <f t="shared" si="9"/>
        <v>37.08</v>
      </c>
    </row>
    <row r="637" spans="1:9" x14ac:dyDescent="0.25">
      <c r="A637">
        <v>1788</v>
      </c>
      <c r="B637" s="1">
        <v>45360</v>
      </c>
      <c r="C637">
        <v>180</v>
      </c>
      <c r="D637">
        <v>2</v>
      </c>
      <c r="E637">
        <v>2</v>
      </c>
      <c r="F637">
        <v>4</v>
      </c>
      <c r="G637" t="s">
        <v>1044</v>
      </c>
      <c r="H637">
        <f>_xlfn.XLOOKUP(D637, productos!$A$2:$A$150, productos!$D$2:$D$150, "No Encontrado", 0)</f>
        <v>5.21</v>
      </c>
      <c r="I637">
        <f t="shared" si="9"/>
        <v>10.42</v>
      </c>
    </row>
    <row r="638" spans="1:9" x14ac:dyDescent="0.25">
      <c r="A638">
        <v>2512</v>
      </c>
      <c r="B638" s="1">
        <v>45360</v>
      </c>
      <c r="C638">
        <v>87</v>
      </c>
      <c r="D638">
        <v>36</v>
      </c>
      <c r="E638">
        <v>1</v>
      </c>
      <c r="F638">
        <v>4</v>
      </c>
      <c r="G638" t="s">
        <v>1044</v>
      </c>
      <c r="H638">
        <f>_xlfn.XLOOKUP(D638, productos!$A$2:$A$150, productos!$D$2:$D$150, "No Encontrado", 0)</f>
        <v>3.25</v>
      </c>
      <c r="I638">
        <f t="shared" si="9"/>
        <v>3.25</v>
      </c>
    </row>
    <row r="639" spans="1:9" x14ac:dyDescent="0.25">
      <c r="A639">
        <v>2769</v>
      </c>
      <c r="B639" s="1">
        <v>45360</v>
      </c>
      <c r="C639">
        <v>33</v>
      </c>
      <c r="D639">
        <v>24</v>
      </c>
      <c r="E639">
        <v>6</v>
      </c>
      <c r="F639">
        <v>3</v>
      </c>
      <c r="G639" t="s">
        <v>1044</v>
      </c>
      <c r="H639">
        <f>_xlfn.XLOOKUP(D639, productos!$A$2:$A$150, productos!$D$2:$D$150, "No Encontrado", 0)</f>
        <v>13.54</v>
      </c>
      <c r="I639">
        <f t="shared" si="9"/>
        <v>81.239999999999995</v>
      </c>
    </row>
    <row r="640" spans="1:9" x14ac:dyDescent="0.25">
      <c r="A640">
        <v>1142</v>
      </c>
      <c r="B640" s="1">
        <v>45361</v>
      </c>
      <c r="C640">
        <v>164</v>
      </c>
      <c r="D640">
        <v>13</v>
      </c>
      <c r="E640">
        <v>6</v>
      </c>
      <c r="F640">
        <v>1</v>
      </c>
      <c r="G640" t="s">
        <v>1044</v>
      </c>
      <c r="H640">
        <f>_xlfn.XLOOKUP(D640, productos!$A$2:$A$150, productos!$D$2:$D$150, "No Encontrado", 0)</f>
        <v>12.56</v>
      </c>
      <c r="I640">
        <f t="shared" si="9"/>
        <v>75.36</v>
      </c>
    </row>
    <row r="641" spans="1:9" x14ac:dyDescent="0.25">
      <c r="A641">
        <v>1639</v>
      </c>
      <c r="B641" s="1">
        <v>45361</v>
      </c>
      <c r="C641">
        <v>230</v>
      </c>
      <c r="D641">
        <v>26</v>
      </c>
      <c r="E641">
        <v>5</v>
      </c>
      <c r="F641">
        <v>4</v>
      </c>
      <c r="G641" t="s">
        <v>1044</v>
      </c>
      <c r="H641">
        <f>_xlfn.XLOOKUP(D641, productos!$A$2:$A$150, productos!$D$2:$D$150, "No Encontrado", 0)</f>
        <v>9.5399999999999991</v>
      </c>
      <c r="I641">
        <f t="shared" si="9"/>
        <v>47.699999999999996</v>
      </c>
    </row>
    <row r="642" spans="1:9" x14ac:dyDescent="0.25">
      <c r="A642">
        <v>1957</v>
      </c>
      <c r="B642" s="1">
        <v>45361</v>
      </c>
      <c r="C642">
        <v>217</v>
      </c>
      <c r="D642">
        <v>37</v>
      </c>
      <c r="E642">
        <v>2</v>
      </c>
      <c r="F642">
        <v>1</v>
      </c>
      <c r="G642" t="s">
        <v>1044</v>
      </c>
      <c r="H642">
        <f>_xlfn.XLOOKUP(D642, productos!$A$2:$A$150, productos!$D$2:$D$150, "No Encontrado", 0)</f>
        <v>3.65</v>
      </c>
      <c r="I642">
        <f t="shared" si="9"/>
        <v>7.3</v>
      </c>
    </row>
    <row r="643" spans="1:9" x14ac:dyDescent="0.25">
      <c r="A643">
        <v>2678</v>
      </c>
      <c r="B643" s="1">
        <v>45361</v>
      </c>
      <c r="C643">
        <v>11</v>
      </c>
      <c r="D643">
        <v>31</v>
      </c>
      <c r="E643">
        <v>6</v>
      </c>
      <c r="F643">
        <v>5</v>
      </c>
      <c r="G643" t="s">
        <v>1045</v>
      </c>
      <c r="H643">
        <f>_xlfn.XLOOKUP(D643, productos!$A$2:$A$150, productos!$D$2:$D$150, "No Encontrado", 0)</f>
        <v>5.24</v>
      </c>
      <c r="I643">
        <f t="shared" ref="I643:I706" si="10">E643*H643</f>
        <v>31.44</v>
      </c>
    </row>
    <row r="644" spans="1:9" x14ac:dyDescent="0.25">
      <c r="A644">
        <v>923</v>
      </c>
      <c r="B644" s="1">
        <v>45362</v>
      </c>
      <c r="C644">
        <v>172</v>
      </c>
      <c r="D644">
        <v>2</v>
      </c>
      <c r="E644">
        <v>1</v>
      </c>
      <c r="F644">
        <v>1</v>
      </c>
      <c r="G644" t="s">
        <v>1044</v>
      </c>
      <c r="H644">
        <f>_xlfn.XLOOKUP(D644, productos!$A$2:$A$150, productos!$D$2:$D$150, "No Encontrado", 0)</f>
        <v>5.21</v>
      </c>
      <c r="I644">
        <f t="shared" si="10"/>
        <v>5.21</v>
      </c>
    </row>
    <row r="645" spans="1:9" x14ac:dyDescent="0.25">
      <c r="A645">
        <v>1148</v>
      </c>
      <c r="B645" s="1">
        <v>45362</v>
      </c>
      <c r="C645">
        <v>67</v>
      </c>
      <c r="D645">
        <v>25</v>
      </c>
      <c r="E645">
        <v>5</v>
      </c>
      <c r="F645">
        <v>4</v>
      </c>
      <c r="G645" t="s">
        <v>1045</v>
      </c>
      <c r="H645">
        <f>_xlfn.XLOOKUP(D645, productos!$A$2:$A$150, productos!$D$2:$D$150, "No Encontrado", 0)</f>
        <v>15.45</v>
      </c>
      <c r="I645">
        <f t="shared" si="10"/>
        <v>77.25</v>
      </c>
    </row>
    <row r="646" spans="1:9" x14ac:dyDescent="0.25">
      <c r="A646">
        <v>1564</v>
      </c>
      <c r="B646" s="1">
        <v>45362</v>
      </c>
      <c r="C646">
        <v>238</v>
      </c>
      <c r="D646">
        <v>23</v>
      </c>
      <c r="E646">
        <v>2</v>
      </c>
      <c r="F646">
        <v>2</v>
      </c>
      <c r="G646" t="s">
        <v>1044</v>
      </c>
      <c r="H646">
        <f>_xlfn.XLOOKUP(D646, productos!$A$2:$A$150, productos!$D$2:$D$150, "No Encontrado", 0)</f>
        <v>8.23</v>
      </c>
      <c r="I646">
        <f t="shared" si="10"/>
        <v>16.46</v>
      </c>
    </row>
    <row r="647" spans="1:9" x14ac:dyDescent="0.25">
      <c r="A647">
        <v>2058</v>
      </c>
      <c r="B647" s="1">
        <v>45362</v>
      </c>
      <c r="C647">
        <v>206</v>
      </c>
      <c r="D647">
        <v>9</v>
      </c>
      <c r="E647">
        <v>2</v>
      </c>
      <c r="F647">
        <v>4</v>
      </c>
      <c r="G647" t="s">
        <v>1044</v>
      </c>
      <c r="H647">
        <f>_xlfn.XLOOKUP(D647, productos!$A$2:$A$150, productos!$D$2:$D$150, "No Encontrado", 0)</f>
        <v>18.559999999999999</v>
      </c>
      <c r="I647">
        <f t="shared" si="10"/>
        <v>37.119999999999997</v>
      </c>
    </row>
    <row r="648" spans="1:9" x14ac:dyDescent="0.25">
      <c r="A648">
        <v>2132</v>
      </c>
      <c r="B648" s="1">
        <v>45362</v>
      </c>
      <c r="C648">
        <v>215</v>
      </c>
      <c r="D648">
        <v>11</v>
      </c>
      <c r="E648">
        <v>3</v>
      </c>
      <c r="F648">
        <v>3</v>
      </c>
      <c r="G648" t="s">
        <v>1044</v>
      </c>
      <c r="H648">
        <f>_xlfn.XLOOKUP(D648, productos!$A$2:$A$150, productos!$D$2:$D$150, "No Encontrado", 0)</f>
        <v>11.23</v>
      </c>
      <c r="I648">
        <f t="shared" si="10"/>
        <v>33.69</v>
      </c>
    </row>
    <row r="649" spans="1:9" x14ac:dyDescent="0.25">
      <c r="A649">
        <v>2253</v>
      </c>
      <c r="B649" s="1">
        <v>45362</v>
      </c>
      <c r="C649">
        <v>278</v>
      </c>
      <c r="D649">
        <v>2</v>
      </c>
      <c r="E649">
        <v>2</v>
      </c>
      <c r="F649">
        <v>2</v>
      </c>
      <c r="G649" t="s">
        <v>1044</v>
      </c>
      <c r="H649">
        <f>_xlfn.XLOOKUP(D649, productos!$A$2:$A$150, productos!$D$2:$D$150, "No Encontrado", 0)</f>
        <v>5.21</v>
      </c>
      <c r="I649">
        <f t="shared" si="10"/>
        <v>10.42</v>
      </c>
    </row>
    <row r="650" spans="1:9" x14ac:dyDescent="0.25">
      <c r="A650">
        <v>437</v>
      </c>
      <c r="B650" s="1">
        <v>45363</v>
      </c>
      <c r="C650">
        <v>211</v>
      </c>
      <c r="D650">
        <v>15</v>
      </c>
      <c r="E650">
        <v>5</v>
      </c>
      <c r="F650">
        <v>1</v>
      </c>
      <c r="G650" t="s">
        <v>1044</v>
      </c>
      <c r="H650">
        <f>_xlfn.XLOOKUP(D650, productos!$A$2:$A$150, productos!$D$2:$D$150, "No Encontrado", 0)</f>
        <v>3.51</v>
      </c>
      <c r="I650">
        <f t="shared" si="10"/>
        <v>17.549999999999997</v>
      </c>
    </row>
    <row r="651" spans="1:9" x14ac:dyDescent="0.25">
      <c r="A651">
        <v>971</v>
      </c>
      <c r="B651" s="1">
        <v>45363</v>
      </c>
      <c r="C651">
        <v>213</v>
      </c>
      <c r="D651">
        <v>29</v>
      </c>
      <c r="E651">
        <v>6</v>
      </c>
      <c r="F651">
        <v>4</v>
      </c>
      <c r="G651" t="s">
        <v>1044</v>
      </c>
      <c r="H651">
        <f>_xlfn.XLOOKUP(D651, productos!$A$2:$A$150, productos!$D$2:$D$150, "No Encontrado", 0)</f>
        <v>11.54</v>
      </c>
      <c r="I651">
        <f t="shared" si="10"/>
        <v>69.239999999999995</v>
      </c>
    </row>
    <row r="652" spans="1:9" x14ac:dyDescent="0.25">
      <c r="A652">
        <v>2019</v>
      </c>
      <c r="B652" s="1">
        <v>45363</v>
      </c>
      <c r="C652">
        <v>49</v>
      </c>
      <c r="D652">
        <v>13</v>
      </c>
      <c r="E652">
        <v>6</v>
      </c>
      <c r="F652">
        <v>4</v>
      </c>
      <c r="G652" t="s">
        <v>1044</v>
      </c>
      <c r="H652">
        <f>_xlfn.XLOOKUP(D652, productos!$A$2:$A$150, productos!$D$2:$D$150, "No Encontrado", 0)</f>
        <v>12.56</v>
      </c>
      <c r="I652">
        <f t="shared" si="10"/>
        <v>75.36</v>
      </c>
    </row>
    <row r="653" spans="1:9" x14ac:dyDescent="0.25">
      <c r="A653">
        <v>2291</v>
      </c>
      <c r="B653" s="1">
        <v>45363</v>
      </c>
      <c r="C653">
        <v>69</v>
      </c>
      <c r="D653">
        <v>6</v>
      </c>
      <c r="E653">
        <v>6</v>
      </c>
      <c r="F653">
        <v>5</v>
      </c>
      <c r="G653" t="s">
        <v>1044</v>
      </c>
      <c r="H653">
        <f>_xlfn.XLOOKUP(D653, productos!$A$2:$A$150, productos!$D$2:$D$150, "No Encontrado", 0)</f>
        <v>28.56</v>
      </c>
      <c r="I653">
        <f t="shared" si="10"/>
        <v>171.35999999999999</v>
      </c>
    </row>
    <row r="654" spans="1:9" x14ac:dyDescent="0.25">
      <c r="A654">
        <v>2416</v>
      </c>
      <c r="B654" s="1">
        <v>45363</v>
      </c>
      <c r="C654">
        <v>49</v>
      </c>
      <c r="D654">
        <v>11</v>
      </c>
      <c r="E654">
        <v>5</v>
      </c>
      <c r="F654">
        <v>4</v>
      </c>
      <c r="G654" t="s">
        <v>1044</v>
      </c>
      <c r="H654">
        <f>_xlfn.XLOOKUP(D654, productos!$A$2:$A$150, productos!$D$2:$D$150, "No Encontrado", 0)</f>
        <v>11.23</v>
      </c>
      <c r="I654">
        <f t="shared" si="10"/>
        <v>56.150000000000006</v>
      </c>
    </row>
    <row r="655" spans="1:9" x14ac:dyDescent="0.25">
      <c r="A655">
        <v>2519</v>
      </c>
      <c r="B655" s="1">
        <v>45363</v>
      </c>
      <c r="C655">
        <v>30</v>
      </c>
      <c r="D655">
        <v>3</v>
      </c>
      <c r="E655">
        <v>6</v>
      </c>
      <c r="F655">
        <v>1</v>
      </c>
      <c r="G655" t="s">
        <v>1044</v>
      </c>
      <c r="H655">
        <f>_xlfn.XLOOKUP(D655, productos!$A$2:$A$150, productos!$D$2:$D$150, "No Encontrado", 0)</f>
        <v>17.23</v>
      </c>
      <c r="I655">
        <f t="shared" si="10"/>
        <v>103.38</v>
      </c>
    </row>
    <row r="656" spans="1:9" x14ac:dyDescent="0.25">
      <c r="A656">
        <v>2524</v>
      </c>
      <c r="B656" s="1">
        <v>45363</v>
      </c>
      <c r="C656">
        <v>117</v>
      </c>
      <c r="D656">
        <v>9</v>
      </c>
      <c r="E656">
        <v>2</v>
      </c>
      <c r="F656">
        <v>3</v>
      </c>
      <c r="G656" t="s">
        <v>1045</v>
      </c>
      <c r="H656">
        <f>_xlfn.XLOOKUP(D656, productos!$A$2:$A$150, productos!$D$2:$D$150, "No Encontrado", 0)</f>
        <v>18.559999999999999</v>
      </c>
      <c r="I656">
        <f t="shared" si="10"/>
        <v>37.119999999999997</v>
      </c>
    </row>
    <row r="657" spans="1:9" x14ac:dyDescent="0.25">
      <c r="A657">
        <v>2989</v>
      </c>
      <c r="B657" s="1">
        <v>45363</v>
      </c>
      <c r="C657">
        <v>147</v>
      </c>
      <c r="D657">
        <v>31</v>
      </c>
      <c r="E657">
        <v>6</v>
      </c>
      <c r="F657">
        <v>3</v>
      </c>
      <c r="G657" t="s">
        <v>1044</v>
      </c>
      <c r="H657">
        <f>_xlfn.XLOOKUP(D657, productos!$A$2:$A$150, productos!$D$2:$D$150, "No Encontrado", 0)</f>
        <v>5.24</v>
      </c>
      <c r="I657">
        <f t="shared" si="10"/>
        <v>31.44</v>
      </c>
    </row>
    <row r="658" spans="1:9" x14ac:dyDescent="0.25">
      <c r="A658">
        <v>426</v>
      </c>
      <c r="B658" s="1">
        <v>45364</v>
      </c>
      <c r="C658">
        <v>100</v>
      </c>
      <c r="D658">
        <v>17</v>
      </c>
      <c r="E658">
        <v>4</v>
      </c>
      <c r="F658">
        <v>4</v>
      </c>
      <c r="G658" t="s">
        <v>1044</v>
      </c>
      <c r="H658">
        <f>_xlfn.XLOOKUP(D658, productos!$A$2:$A$150, productos!$D$2:$D$150, "No Encontrado", 0)</f>
        <v>6.54</v>
      </c>
      <c r="I658">
        <f t="shared" si="10"/>
        <v>26.16</v>
      </c>
    </row>
    <row r="659" spans="1:9" x14ac:dyDescent="0.25">
      <c r="A659">
        <v>537</v>
      </c>
      <c r="B659" s="1">
        <v>45364</v>
      </c>
      <c r="C659">
        <v>262</v>
      </c>
      <c r="D659">
        <v>3</v>
      </c>
      <c r="E659">
        <v>6</v>
      </c>
      <c r="F659">
        <v>2</v>
      </c>
      <c r="G659" t="s">
        <v>1044</v>
      </c>
      <c r="H659">
        <f>_xlfn.XLOOKUP(D659, productos!$A$2:$A$150, productos!$D$2:$D$150, "No Encontrado", 0)</f>
        <v>17.23</v>
      </c>
      <c r="I659">
        <f t="shared" si="10"/>
        <v>103.38</v>
      </c>
    </row>
    <row r="660" spans="1:9" x14ac:dyDescent="0.25">
      <c r="A660">
        <v>656</v>
      </c>
      <c r="B660" s="1">
        <v>45364</v>
      </c>
      <c r="C660">
        <v>35</v>
      </c>
      <c r="D660">
        <v>6</v>
      </c>
      <c r="E660">
        <v>5</v>
      </c>
      <c r="F660">
        <v>3</v>
      </c>
      <c r="G660" t="s">
        <v>1044</v>
      </c>
      <c r="H660">
        <f>_xlfn.XLOOKUP(D660, productos!$A$2:$A$150, productos!$D$2:$D$150, "No Encontrado", 0)</f>
        <v>28.56</v>
      </c>
      <c r="I660">
        <f t="shared" si="10"/>
        <v>142.79999999999998</v>
      </c>
    </row>
    <row r="661" spans="1:9" x14ac:dyDescent="0.25">
      <c r="A661">
        <v>756</v>
      </c>
      <c r="B661" s="1">
        <v>45364</v>
      </c>
      <c r="C661">
        <v>81</v>
      </c>
      <c r="D661">
        <v>12</v>
      </c>
      <c r="E661">
        <v>4</v>
      </c>
      <c r="F661">
        <v>4</v>
      </c>
      <c r="G661" t="s">
        <v>1044</v>
      </c>
      <c r="H661">
        <f>_xlfn.XLOOKUP(D661, productos!$A$2:$A$150, productos!$D$2:$D$150, "No Encontrado", 0)</f>
        <v>8.1199999999999992</v>
      </c>
      <c r="I661">
        <f t="shared" si="10"/>
        <v>32.479999999999997</v>
      </c>
    </row>
    <row r="662" spans="1:9" x14ac:dyDescent="0.25">
      <c r="A662">
        <v>762</v>
      </c>
      <c r="B662" s="1">
        <v>45364</v>
      </c>
      <c r="C662">
        <v>81</v>
      </c>
      <c r="D662">
        <v>3</v>
      </c>
      <c r="E662">
        <v>5</v>
      </c>
      <c r="F662">
        <v>1</v>
      </c>
      <c r="G662" t="s">
        <v>1044</v>
      </c>
      <c r="H662">
        <f>_xlfn.XLOOKUP(D662, productos!$A$2:$A$150, productos!$D$2:$D$150, "No Encontrado", 0)</f>
        <v>17.23</v>
      </c>
      <c r="I662">
        <f t="shared" si="10"/>
        <v>86.15</v>
      </c>
    </row>
    <row r="663" spans="1:9" x14ac:dyDescent="0.25">
      <c r="A663">
        <v>1808</v>
      </c>
      <c r="B663" s="1">
        <v>45364</v>
      </c>
      <c r="C663">
        <v>303</v>
      </c>
      <c r="D663">
        <v>11</v>
      </c>
      <c r="E663">
        <v>5</v>
      </c>
      <c r="F663">
        <v>2</v>
      </c>
      <c r="G663" t="s">
        <v>1044</v>
      </c>
      <c r="H663">
        <f>_xlfn.XLOOKUP(D663, productos!$A$2:$A$150, productos!$D$2:$D$150, "No Encontrado", 0)</f>
        <v>11.23</v>
      </c>
      <c r="I663">
        <f t="shared" si="10"/>
        <v>56.150000000000006</v>
      </c>
    </row>
    <row r="664" spans="1:9" x14ac:dyDescent="0.25">
      <c r="A664">
        <v>1970</v>
      </c>
      <c r="B664" s="1">
        <v>45364</v>
      </c>
      <c r="C664">
        <v>167</v>
      </c>
      <c r="D664">
        <v>10</v>
      </c>
      <c r="E664">
        <v>1</v>
      </c>
      <c r="F664">
        <v>2</v>
      </c>
      <c r="G664" t="s">
        <v>1044</v>
      </c>
      <c r="H664">
        <f>_xlfn.XLOOKUP(D664, productos!$A$2:$A$150, productos!$D$2:$D$150, "No Encontrado", 0)</f>
        <v>14.25</v>
      </c>
      <c r="I664">
        <f t="shared" si="10"/>
        <v>14.25</v>
      </c>
    </row>
    <row r="665" spans="1:9" x14ac:dyDescent="0.25">
      <c r="A665">
        <v>2180</v>
      </c>
      <c r="B665" s="1">
        <v>45364</v>
      </c>
      <c r="C665">
        <v>74</v>
      </c>
      <c r="D665">
        <v>18</v>
      </c>
      <c r="E665">
        <v>5</v>
      </c>
      <c r="F665">
        <v>3</v>
      </c>
      <c r="G665" t="s">
        <v>1044</v>
      </c>
      <c r="H665">
        <f>_xlfn.XLOOKUP(D665, productos!$A$2:$A$150, productos!$D$2:$D$150, "No Encontrado", 0)</f>
        <v>7.25</v>
      </c>
      <c r="I665">
        <f t="shared" si="10"/>
        <v>36.25</v>
      </c>
    </row>
    <row r="666" spans="1:9" x14ac:dyDescent="0.25">
      <c r="A666">
        <v>2260</v>
      </c>
      <c r="B666" s="1">
        <v>45364</v>
      </c>
      <c r="C666">
        <v>54</v>
      </c>
      <c r="D666">
        <v>1</v>
      </c>
      <c r="E666">
        <v>3</v>
      </c>
      <c r="F666">
        <v>5</v>
      </c>
      <c r="G666" t="s">
        <v>1044</v>
      </c>
      <c r="H666">
        <f>_xlfn.XLOOKUP(D666, productos!$A$2:$A$150, productos!$D$2:$D$150, "No Encontrado", 0)</f>
        <v>12.24</v>
      </c>
      <c r="I666">
        <f t="shared" si="10"/>
        <v>36.72</v>
      </c>
    </row>
    <row r="667" spans="1:9" x14ac:dyDescent="0.25">
      <c r="A667">
        <v>2274</v>
      </c>
      <c r="B667" s="1">
        <v>45364</v>
      </c>
      <c r="C667">
        <v>213</v>
      </c>
      <c r="D667">
        <v>35</v>
      </c>
      <c r="E667">
        <v>1</v>
      </c>
      <c r="F667">
        <v>1</v>
      </c>
      <c r="G667" t="s">
        <v>1044</v>
      </c>
      <c r="H667">
        <f>_xlfn.XLOOKUP(D667, productos!$A$2:$A$150, productos!$D$2:$D$150, "No Encontrado", 0)</f>
        <v>4.25</v>
      </c>
      <c r="I667">
        <f t="shared" si="10"/>
        <v>4.25</v>
      </c>
    </row>
    <row r="668" spans="1:9" x14ac:dyDescent="0.25">
      <c r="A668">
        <v>607</v>
      </c>
      <c r="B668" s="1">
        <v>45365</v>
      </c>
      <c r="C668">
        <v>251</v>
      </c>
      <c r="D668">
        <v>9</v>
      </c>
      <c r="E668">
        <v>5</v>
      </c>
      <c r="F668">
        <v>2</v>
      </c>
      <c r="G668" t="s">
        <v>1044</v>
      </c>
      <c r="H668">
        <f>_xlfn.XLOOKUP(D668, productos!$A$2:$A$150, productos!$D$2:$D$150, "No Encontrado", 0)</f>
        <v>18.559999999999999</v>
      </c>
      <c r="I668">
        <f t="shared" si="10"/>
        <v>92.8</v>
      </c>
    </row>
    <row r="669" spans="1:9" x14ac:dyDescent="0.25">
      <c r="A669">
        <v>705</v>
      </c>
      <c r="B669" s="1">
        <v>45365</v>
      </c>
      <c r="C669">
        <v>185</v>
      </c>
      <c r="D669">
        <v>17</v>
      </c>
      <c r="E669">
        <v>2</v>
      </c>
      <c r="F669">
        <v>1</v>
      </c>
      <c r="G669" t="s">
        <v>1044</v>
      </c>
      <c r="H669">
        <f>_xlfn.XLOOKUP(D669, productos!$A$2:$A$150, productos!$D$2:$D$150, "No Encontrado", 0)</f>
        <v>6.54</v>
      </c>
      <c r="I669">
        <f t="shared" si="10"/>
        <v>13.08</v>
      </c>
    </row>
    <row r="670" spans="1:9" x14ac:dyDescent="0.25">
      <c r="A670">
        <v>1033</v>
      </c>
      <c r="B670" s="1">
        <v>45365</v>
      </c>
      <c r="C670">
        <v>78</v>
      </c>
      <c r="D670">
        <v>1</v>
      </c>
      <c r="E670">
        <v>3</v>
      </c>
      <c r="F670">
        <v>5</v>
      </c>
      <c r="G670" t="s">
        <v>1044</v>
      </c>
      <c r="H670">
        <f>_xlfn.XLOOKUP(D670, productos!$A$2:$A$150, productos!$D$2:$D$150, "No Encontrado", 0)</f>
        <v>12.24</v>
      </c>
      <c r="I670">
        <f t="shared" si="10"/>
        <v>36.72</v>
      </c>
    </row>
    <row r="671" spans="1:9" x14ac:dyDescent="0.25">
      <c r="A671">
        <v>1228</v>
      </c>
      <c r="B671" s="1">
        <v>45365</v>
      </c>
      <c r="C671">
        <v>291</v>
      </c>
      <c r="D671">
        <v>1</v>
      </c>
      <c r="E671">
        <v>6</v>
      </c>
      <c r="F671">
        <v>1</v>
      </c>
      <c r="G671" t="s">
        <v>1044</v>
      </c>
      <c r="H671">
        <f>_xlfn.XLOOKUP(D671, productos!$A$2:$A$150, productos!$D$2:$D$150, "No Encontrado", 0)</f>
        <v>12.24</v>
      </c>
      <c r="I671">
        <f t="shared" si="10"/>
        <v>73.44</v>
      </c>
    </row>
    <row r="672" spans="1:9" x14ac:dyDescent="0.25">
      <c r="A672">
        <v>1537</v>
      </c>
      <c r="B672" s="1">
        <v>45365</v>
      </c>
      <c r="C672">
        <v>138</v>
      </c>
      <c r="D672">
        <v>37</v>
      </c>
      <c r="E672">
        <v>1</v>
      </c>
      <c r="F672">
        <v>1</v>
      </c>
      <c r="G672" t="s">
        <v>1044</v>
      </c>
      <c r="H672">
        <f>_xlfn.XLOOKUP(D672, productos!$A$2:$A$150, productos!$D$2:$D$150, "No Encontrado", 0)</f>
        <v>3.65</v>
      </c>
      <c r="I672">
        <f t="shared" si="10"/>
        <v>3.65</v>
      </c>
    </row>
    <row r="673" spans="1:9" x14ac:dyDescent="0.25">
      <c r="A673">
        <v>1864</v>
      </c>
      <c r="B673" s="1">
        <v>45365</v>
      </c>
      <c r="C673">
        <v>15</v>
      </c>
      <c r="D673">
        <v>10</v>
      </c>
      <c r="E673">
        <v>5</v>
      </c>
      <c r="F673">
        <v>4</v>
      </c>
      <c r="G673" t="s">
        <v>1044</v>
      </c>
      <c r="H673">
        <f>_xlfn.XLOOKUP(D673, productos!$A$2:$A$150, productos!$D$2:$D$150, "No Encontrado", 0)</f>
        <v>14.25</v>
      </c>
      <c r="I673">
        <f t="shared" si="10"/>
        <v>71.25</v>
      </c>
    </row>
    <row r="674" spans="1:9" x14ac:dyDescent="0.25">
      <c r="A674">
        <v>2545</v>
      </c>
      <c r="B674" s="1">
        <v>45365</v>
      </c>
      <c r="C674">
        <v>233</v>
      </c>
      <c r="D674">
        <v>12</v>
      </c>
      <c r="E674">
        <v>1</v>
      </c>
      <c r="F674">
        <v>4</v>
      </c>
      <c r="G674" t="s">
        <v>1044</v>
      </c>
      <c r="H674">
        <f>_xlfn.XLOOKUP(D674, productos!$A$2:$A$150, productos!$D$2:$D$150, "No Encontrado", 0)</f>
        <v>8.1199999999999992</v>
      </c>
      <c r="I674">
        <f t="shared" si="10"/>
        <v>8.1199999999999992</v>
      </c>
    </row>
    <row r="675" spans="1:9" x14ac:dyDescent="0.25">
      <c r="A675">
        <v>2973</v>
      </c>
      <c r="B675" s="1">
        <v>45365</v>
      </c>
      <c r="C675">
        <v>134</v>
      </c>
      <c r="D675">
        <v>7</v>
      </c>
      <c r="E675">
        <v>3</v>
      </c>
      <c r="F675">
        <v>3</v>
      </c>
      <c r="G675" t="s">
        <v>1044</v>
      </c>
      <c r="H675">
        <f>_xlfn.XLOOKUP(D675, productos!$A$2:$A$150, productos!$D$2:$D$150, "No Encontrado", 0)</f>
        <v>11.25</v>
      </c>
      <c r="I675">
        <f t="shared" si="10"/>
        <v>33.75</v>
      </c>
    </row>
    <row r="676" spans="1:9" x14ac:dyDescent="0.25">
      <c r="A676">
        <v>817</v>
      </c>
      <c r="B676" s="1">
        <v>45366</v>
      </c>
      <c r="C676">
        <v>31</v>
      </c>
      <c r="D676">
        <v>3</v>
      </c>
      <c r="E676">
        <v>2</v>
      </c>
      <c r="F676">
        <v>4</v>
      </c>
      <c r="G676" t="s">
        <v>1044</v>
      </c>
      <c r="H676">
        <f>_xlfn.XLOOKUP(D676, productos!$A$2:$A$150, productos!$D$2:$D$150, "No Encontrado", 0)</f>
        <v>17.23</v>
      </c>
      <c r="I676">
        <f t="shared" si="10"/>
        <v>34.46</v>
      </c>
    </row>
    <row r="677" spans="1:9" x14ac:dyDescent="0.25">
      <c r="A677">
        <v>1494</v>
      </c>
      <c r="B677" s="1">
        <v>45366</v>
      </c>
      <c r="C677">
        <v>157</v>
      </c>
      <c r="D677">
        <v>23</v>
      </c>
      <c r="E677">
        <v>3</v>
      </c>
      <c r="F677">
        <v>1</v>
      </c>
      <c r="G677" t="s">
        <v>1044</v>
      </c>
      <c r="H677">
        <f>_xlfn.XLOOKUP(D677, productos!$A$2:$A$150, productos!$D$2:$D$150, "No Encontrado", 0)</f>
        <v>8.23</v>
      </c>
      <c r="I677">
        <f t="shared" si="10"/>
        <v>24.69</v>
      </c>
    </row>
    <row r="678" spans="1:9" x14ac:dyDescent="0.25">
      <c r="A678">
        <v>1601</v>
      </c>
      <c r="B678" s="1">
        <v>45366</v>
      </c>
      <c r="C678">
        <v>313</v>
      </c>
      <c r="D678">
        <v>34</v>
      </c>
      <c r="E678">
        <v>4</v>
      </c>
      <c r="F678">
        <v>1</v>
      </c>
      <c r="G678" t="s">
        <v>1044</v>
      </c>
      <c r="H678">
        <f>_xlfn.XLOOKUP(D678, productos!$A$2:$A$150, productos!$D$2:$D$150, "No Encontrado", 0)</f>
        <v>5.45</v>
      </c>
      <c r="I678">
        <f t="shared" si="10"/>
        <v>21.8</v>
      </c>
    </row>
    <row r="679" spans="1:9" x14ac:dyDescent="0.25">
      <c r="A679">
        <v>1618</v>
      </c>
      <c r="B679" s="1">
        <v>45366</v>
      </c>
      <c r="C679">
        <v>14</v>
      </c>
      <c r="D679">
        <v>18</v>
      </c>
      <c r="E679">
        <v>3</v>
      </c>
      <c r="F679">
        <v>5</v>
      </c>
      <c r="G679" t="s">
        <v>1045</v>
      </c>
      <c r="H679">
        <f>_xlfn.XLOOKUP(D679, productos!$A$2:$A$150, productos!$D$2:$D$150, "No Encontrado", 0)</f>
        <v>7.25</v>
      </c>
      <c r="I679">
        <f t="shared" si="10"/>
        <v>21.75</v>
      </c>
    </row>
    <row r="680" spans="1:9" x14ac:dyDescent="0.25">
      <c r="A680">
        <v>1622</v>
      </c>
      <c r="B680" s="1">
        <v>45366</v>
      </c>
      <c r="C680">
        <v>211</v>
      </c>
      <c r="D680">
        <v>16</v>
      </c>
      <c r="E680">
        <v>2</v>
      </c>
      <c r="F680">
        <v>5</v>
      </c>
      <c r="G680" t="s">
        <v>1044</v>
      </c>
      <c r="H680">
        <f>_xlfn.XLOOKUP(D680, productos!$A$2:$A$150, productos!$D$2:$D$150, "No Encontrado", 0)</f>
        <v>15.23</v>
      </c>
      <c r="I680">
        <f t="shared" si="10"/>
        <v>30.46</v>
      </c>
    </row>
    <row r="681" spans="1:9" x14ac:dyDescent="0.25">
      <c r="A681">
        <v>1646</v>
      </c>
      <c r="B681" s="1">
        <v>45366</v>
      </c>
      <c r="C681">
        <v>143</v>
      </c>
      <c r="D681">
        <v>8</v>
      </c>
      <c r="E681">
        <v>3</v>
      </c>
      <c r="F681">
        <v>3</v>
      </c>
      <c r="G681" t="s">
        <v>1044</v>
      </c>
      <c r="H681">
        <f>_xlfn.XLOOKUP(D681, productos!$A$2:$A$150, productos!$D$2:$D$150, "No Encontrado", 0)</f>
        <v>16.21</v>
      </c>
      <c r="I681">
        <f t="shared" si="10"/>
        <v>48.63</v>
      </c>
    </row>
    <row r="682" spans="1:9" x14ac:dyDescent="0.25">
      <c r="A682">
        <v>2073</v>
      </c>
      <c r="B682" s="1">
        <v>45366</v>
      </c>
      <c r="C682">
        <v>283</v>
      </c>
      <c r="D682">
        <v>11</v>
      </c>
      <c r="E682">
        <v>4</v>
      </c>
      <c r="F682">
        <v>4</v>
      </c>
      <c r="G682" t="s">
        <v>1044</v>
      </c>
      <c r="H682">
        <f>_xlfn.XLOOKUP(D682, productos!$A$2:$A$150, productos!$D$2:$D$150, "No Encontrado", 0)</f>
        <v>11.23</v>
      </c>
      <c r="I682">
        <f t="shared" si="10"/>
        <v>44.92</v>
      </c>
    </row>
    <row r="683" spans="1:9" x14ac:dyDescent="0.25">
      <c r="A683">
        <v>2107</v>
      </c>
      <c r="B683" s="1">
        <v>45366</v>
      </c>
      <c r="C683">
        <v>299</v>
      </c>
      <c r="D683">
        <v>3</v>
      </c>
      <c r="E683">
        <v>5</v>
      </c>
      <c r="F683">
        <v>3</v>
      </c>
      <c r="G683" t="s">
        <v>1044</v>
      </c>
      <c r="H683">
        <f>_xlfn.XLOOKUP(D683, productos!$A$2:$A$150, productos!$D$2:$D$150, "No Encontrado", 0)</f>
        <v>17.23</v>
      </c>
      <c r="I683">
        <f t="shared" si="10"/>
        <v>86.15</v>
      </c>
    </row>
    <row r="684" spans="1:9" x14ac:dyDescent="0.25">
      <c r="A684">
        <v>2204</v>
      </c>
      <c r="B684" s="1">
        <v>45366</v>
      </c>
      <c r="C684">
        <v>55</v>
      </c>
      <c r="D684">
        <v>28</v>
      </c>
      <c r="E684">
        <v>1</v>
      </c>
      <c r="F684">
        <v>5</v>
      </c>
      <c r="G684" t="s">
        <v>1044</v>
      </c>
      <c r="H684">
        <f>_xlfn.XLOOKUP(D684, productos!$A$2:$A$150, productos!$D$2:$D$150, "No Encontrado", 0)</f>
        <v>9.4499999999999993</v>
      </c>
      <c r="I684">
        <f t="shared" si="10"/>
        <v>9.4499999999999993</v>
      </c>
    </row>
    <row r="685" spans="1:9" x14ac:dyDescent="0.25">
      <c r="A685">
        <v>2660</v>
      </c>
      <c r="B685" s="1">
        <v>45366</v>
      </c>
      <c r="C685">
        <v>28</v>
      </c>
      <c r="D685">
        <v>7</v>
      </c>
      <c r="E685">
        <v>6</v>
      </c>
      <c r="F685">
        <v>4</v>
      </c>
      <c r="G685" t="s">
        <v>1044</v>
      </c>
      <c r="H685">
        <f>_xlfn.XLOOKUP(D685, productos!$A$2:$A$150, productos!$D$2:$D$150, "No Encontrado", 0)</f>
        <v>11.25</v>
      </c>
      <c r="I685">
        <f t="shared" si="10"/>
        <v>67.5</v>
      </c>
    </row>
    <row r="686" spans="1:9" x14ac:dyDescent="0.25">
      <c r="A686">
        <v>2808</v>
      </c>
      <c r="B686" s="1">
        <v>45366</v>
      </c>
      <c r="C686">
        <v>11</v>
      </c>
      <c r="D686">
        <v>38</v>
      </c>
      <c r="E686">
        <v>6</v>
      </c>
      <c r="F686">
        <v>4</v>
      </c>
      <c r="G686" t="s">
        <v>1044</v>
      </c>
      <c r="H686">
        <f>_xlfn.XLOOKUP(D686, productos!$A$2:$A$150, productos!$D$2:$D$150, "No Encontrado", 0)</f>
        <v>6.21</v>
      </c>
      <c r="I686">
        <f t="shared" si="10"/>
        <v>37.26</v>
      </c>
    </row>
    <row r="687" spans="1:9" x14ac:dyDescent="0.25">
      <c r="A687">
        <v>1083</v>
      </c>
      <c r="B687" s="1">
        <v>45367</v>
      </c>
      <c r="C687">
        <v>111</v>
      </c>
      <c r="D687">
        <v>26</v>
      </c>
      <c r="E687">
        <v>5</v>
      </c>
      <c r="F687">
        <v>4</v>
      </c>
      <c r="G687" t="s">
        <v>1044</v>
      </c>
      <c r="H687">
        <f>_xlfn.XLOOKUP(D687, productos!$A$2:$A$150, productos!$D$2:$D$150, "No Encontrado", 0)</f>
        <v>9.5399999999999991</v>
      </c>
      <c r="I687">
        <f t="shared" si="10"/>
        <v>47.699999999999996</v>
      </c>
    </row>
    <row r="688" spans="1:9" x14ac:dyDescent="0.25">
      <c r="A688">
        <v>1085</v>
      </c>
      <c r="B688" s="1">
        <v>45367</v>
      </c>
      <c r="C688">
        <v>232</v>
      </c>
      <c r="D688">
        <v>20</v>
      </c>
      <c r="E688">
        <v>3</v>
      </c>
      <c r="F688">
        <v>3</v>
      </c>
      <c r="G688" t="s">
        <v>1044</v>
      </c>
      <c r="H688">
        <f>_xlfn.XLOOKUP(D688, productos!$A$2:$A$150, productos!$D$2:$D$150, "No Encontrado", 0)</f>
        <v>4.25</v>
      </c>
      <c r="I688">
        <f t="shared" si="10"/>
        <v>12.75</v>
      </c>
    </row>
    <row r="689" spans="1:9" x14ac:dyDescent="0.25">
      <c r="A689">
        <v>1111</v>
      </c>
      <c r="B689" s="1">
        <v>45367</v>
      </c>
      <c r="C689">
        <v>65</v>
      </c>
      <c r="D689">
        <v>16</v>
      </c>
      <c r="E689">
        <v>2</v>
      </c>
      <c r="F689">
        <v>3</v>
      </c>
      <c r="G689" t="s">
        <v>1044</v>
      </c>
      <c r="H689">
        <f>_xlfn.XLOOKUP(D689, productos!$A$2:$A$150, productos!$D$2:$D$150, "No Encontrado", 0)</f>
        <v>15.23</v>
      </c>
      <c r="I689">
        <f t="shared" si="10"/>
        <v>30.46</v>
      </c>
    </row>
    <row r="690" spans="1:9" x14ac:dyDescent="0.25">
      <c r="A690">
        <v>1249</v>
      </c>
      <c r="B690" s="1">
        <v>45367</v>
      </c>
      <c r="C690">
        <v>77</v>
      </c>
      <c r="D690">
        <v>21</v>
      </c>
      <c r="E690">
        <v>1</v>
      </c>
      <c r="F690">
        <v>3</v>
      </c>
      <c r="G690" t="s">
        <v>1044</v>
      </c>
      <c r="H690">
        <f>_xlfn.XLOOKUP(D690, productos!$A$2:$A$150, productos!$D$2:$D$150, "No Encontrado", 0)</f>
        <v>3.25</v>
      </c>
      <c r="I690">
        <f t="shared" si="10"/>
        <v>3.25</v>
      </c>
    </row>
    <row r="691" spans="1:9" x14ac:dyDescent="0.25">
      <c r="A691">
        <v>1561</v>
      </c>
      <c r="B691" s="1">
        <v>45367</v>
      </c>
      <c r="C691">
        <v>200</v>
      </c>
      <c r="D691">
        <v>22</v>
      </c>
      <c r="E691">
        <v>5</v>
      </c>
      <c r="F691">
        <v>4</v>
      </c>
      <c r="G691" t="s">
        <v>1044</v>
      </c>
      <c r="H691">
        <f>_xlfn.XLOOKUP(D691, productos!$A$2:$A$150, productos!$D$2:$D$150, "No Encontrado", 0)</f>
        <v>4.21</v>
      </c>
      <c r="I691">
        <f t="shared" si="10"/>
        <v>21.05</v>
      </c>
    </row>
    <row r="692" spans="1:9" x14ac:dyDescent="0.25">
      <c r="A692">
        <v>1708</v>
      </c>
      <c r="B692" s="1">
        <v>45367</v>
      </c>
      <c r="C692">
        <v>68</v>
      </c>
      <c r="D692">
        <v>16</v>
      </c>
      <c r="E692">
        <v>1</v>
      </c>
      <c r="F692">
        <v>4</v>
      </c>
      <c r="G692" t="s">
        <v>1044</v>
      </c>
      <c r="H692">
        <f>_xlfn.XLOOKUP(D692, productos!$A$2:$A$150, productos!$D$2:$D$150, "No Encontrado", 0)</f>
        <v>15.23</v>
      </c>
      <c r="I692">
        <f t="shared" si="10"/>
        <v>15.23</v>
      </c>
    </row>
    <row r="693" spans="1:9" x14ac:dyDescent="0.25">
      <c r="A693">
        <v>2201</v>
      </c>
      <c r="B693" s="1">
        <v>45367</v>
      </c>
      <c r="C693">
        <v>63</v>
      </c>
      <c r="D693">
        <v>34</v>
      </c>
      <c r="E693">
        <v>6</v>
      </c>
      <c r="F693">
        <v>5</v>
      </c>
      <c r="G693" t="s">
        <v>1044</v>
      </c>
      <c r="H693">
        <f>_xlfn.XLOOKUP(D693, productos!$A$2:$A$150, productos!$D$2:$D$150, "No Encontrado", 0)</f>
        <v>5.45</v>
      </c>
      <c r="I693">
        <f t="shared" si="10"/>
        <v>32.700000000000003</v>
      </c>
    </row>
    <row r="694" spans="1:9" x14ac:dyDescent="0.25">
      <c r="A694">
        <v>2264</v>
      </c>
      <c r="B694" s="1">
        <v>45367</v>
      </c>
      <c r="C694">
        <v>87</v>
      </c>
      <c r="D694">
        <v>11</v>
      </c>
      <c r="E694">
        <v>6</v>
      </c>
      <c r="F694">
        <v>5</v>
      </c>
      <c r="G694" t="s">
        <v>1044</v>
      </c>
      <c r="H694">
        <f>_xlfn.XLOOKUP(D694, productos!$A$2:$A$150, productos!$D$2:$D$150, "No Encontrado", 0)</f>
        <v>11.23</v>
      </c>
      <c r="I694">
        <f t="shared" si="10"/>
        <v>67.38</v>
      </c>
    </row>
    <row r="695" spans="1:9" x14ac:dyDescent="0.25">
      <c r="A695">
        <v>2689</v>
      </c>
      <c r="B695" s="1">
        <v>45367</v>
      </c>
      <c r="C695">
        <v>108</v>
      </c>
      <c r="D695">
        <v>30</v>
      </c>
      <c r="E695">
        <v>5</v>
      </c>
      <c r="F695">
        <v>4</v>
      </c>
      <c r="G695" t="s">
        <v>1044</v>
      </c>
      <c r="H695">
        <f>_xlfn.XLOOKUP(D695, productos!$A$2:$A$150, productos!$D$2:$D$150, "No Encontrado", 0)</f>
        <v>13.54</v>
      </c>
      <c r="I695">
        <f t="shared" si="10"/>
        <v>67.699999999999989</v>
      </c>
    </row>
    <row r="696" spans="1:9" x14ac:dyDescent="0.25">
      <c r="A696">
        <v>2740</v>
      </c>
      <c r="B696" s="1">
        <v>45367</v>
      </c>
      <c r="C696">
        <v>224</v>
      </c>
      <c r="D696">
        <v>7</v>
      </c>
      <c r="E696">
        <v>5</v>
      </c>
      <c r="F696">
        <v>4</v>
      </c>
      <c r="G696" t="s">
        <v>1044</v>
      </c>
      <c r="H696">
        <f>_xlfn.XLOOKUP(D696, productos!$A$2:$A$150, productos!$D$2:$D$150, "No Encontrado", 0)</f>
        <v>11.25</v>
      </c>
      <c r="I696">
        <f t="shared" si="10"/>
        <v>56.25</v>
      </c>
    </row>
    <row r="697" spans="1:9" x14ac:dyDescent="0.25">
      <c r="A697">
        <v>2951</v>
      </c>
      <c r="B697" s="1">
        <v>45367</v>
      </c>
      <c r="C697">
        <v>229</v>
      </c>
      <c r="D697">
        <v>32</v>
      </c>
      <c r="E697">
        <v>1</v>
      </c>
      <c r="F697">
        <v>4</v>
      </c>
      <c r="G697" t="s">
        <v>1044</v>
      </c>
      <c r="H697">
        <f>_xlfn.XLOOKUP(D697, productos!$A$2:$A$150, productos!$D$2:$D$150, "No Encontrado", 0)</f>
        <v>6.25</v>
      </c>
      <c r="I697">
        <f t="shared" si="10"/>
        <v>6.25</v>
      </c>
    </row>
    <row r="698" spans="1:9" x14ac:dyDescent="0.25">
      <c r="A698">
        <v>827</v>
      </c>
      <c r="B698" s="1">
        <v>45368</v>
      </c>
      <c r="C698">
        <v>246</v>
      </c>
      <c r="D698">
        <v>8</v>
      </c>
      <c r="E698">
        <v>2</v>
      </c>
      <c r="F698">
        <v>5</v>
      </c>
      <c r="G698" t="s">
        <v>1044</v>
      </c>
      <c r="H698">
        <f>_xlfn.XLOOKUP(D698, productos!$A$2:$A$150, productos!$D$2:$D$150, "No Encontrado", 0)</f>
        <v>16.21</v>
      </c>
      <c r="I698">
        <f t="shared" si="10"/>
        <v>32.42</v>
      </c>
    </row>
    <row r="699" spans="1:9" x14ac:dyDescent="0.25">
      <c r="A699">
        <v>875</v>
      </c>
      <c r="B699" s="1">
        <v>45368</v>
      </c>
      <c r="C699">
        <v>321</v>
      </c>
      <c r="D699">
        <v>15</v>
      </c>
      <c r="E699">
        <v>6</v>
      </c>
      <c r="F699">
        <v>5</v>
      </c>
      <c r="G699" t="s">
        <v>1044</v>
      </c>
      <c r="H699">
        <f>_xlfn.XLOOKUP(D699, productos!$A$2:$A$150, productos!$D$2:$D$150, "No Encontrado", 0)</f>
        <v>3.51</v>
      </c>
      <c r="I699">
        <f t="shared" si="10"/>
        <v>21.06</v>
      </c>
    </row>
    <row r="700" spans="1:9" x14ac:dyDescent="0.25">
      <c r="A700">
        <v>884</v>
      </c>
      <c r="B700" s="1">
        <v>45368</v>
      </c>
      <c r="C700">
        <v>312</v>
      </c>
      <c r="D700">
        <v>16</v>
      </c>
      <c r="E700">
        <v>5</v>
      </c>
      <c r="F700">
        <v>2</v>
      </c>
      <c r="G700" t="s">
        <v>1045</v>
      </c>
      <c r="H700">
        <f>_xlfn.XLOOKUP(D700, productos!$A$2:$A$150, productos!$D$2:$D$150, "No Encontrado", 0)</f>
        <v>15.23</v>
      </c>
      <c r="I700">
        <f t="shared" si="10"/>
        <v>76.150000000000006</v>
      </c>
    </row>
    <row r="701" spans="1:9" x14ac:dyDescent="0.25">
      <c r="A701">
        <v>1121</v>
      </c>
      <c r="B701" s="1">
        <v>45368</v>
      </c>
      <c r="C701">
        <v>88</v>
      </c>
      <c r="D701">
        <v>34</v>
      </c>
      <c r="E701">
        <v>3</v>
      </c>
      <c r="F701">
        <v>5</v>
      </c>
      <c r="G701" t="s">
        <v>1045</v>
      </c>
      <c r="H701">
        <f>_xlfn.XLOOKUP(D701, productos!$A$2:$A$150, productos!$D$2:$D$150, "No Encontrado", 0)</f>
        <v>5.45</v>
      </c>
      <c r="I701">
        <f t="shared" si="10"/>
        <v>16.350000000000001</v>
      </c>
    </row>
    <row r="702" spans="1:9" x14ac:dyDescent="0.25">
      <c r="A702">
        <v>1137</v>
      </c>
      <c r="B702" s="1">
        <v>45368</v>
      </c>
      <c r="C702">
        <v>295</v>
      </c>
      <c r="D702">
        <v>32</v>
      </c>
      <c r="E702">
        <v>6</v>
      </c>
      <c r="F702">
        <v>3</v>
      </c>
      <c r="G702" t="s">
        <v>1044</v>
      </c>
      <c r="H702">
        <f>_xlfn.XLOOKUP(D702, productos!$A$2:$A$150, productos!$D$2:$D$150, "No Encontrado", 0)</f>
        <v>6.25</v>
      </c>
      <c r="I702">
        <f t="shared" si="10"/>
        <v>37.5</v>
      </c>
    </row>
    <row r="703" spans="1:9" x14ac:dyDescent="0.25">
      <c r="A703">
        <v>1290</v>
      </c>
      <c r="B703" s="1">
        <v>45368</v>
      </c>
      <c r="C703">
        <v>323</v>
      </c>
      <c r="D703">
        <v>25</v>
      </c>
      <c r="E703">
        <v>5</v>
      </c>
      <c r="F703">
        <v>3</v>
      </c>
      <c r="G703" t="s">
        <v>1044</v>
      </c>
      <c r="H703">
        <f>_xlfn.XLOOKUP(D703, productos!$A$2:$A$150, productos!$D$2:$D$150, "No Encontrado", 0)</f>
        <v>15.45</v>
      </c>
      <c r="I703">
        <f t="shared" si="10"/>
        <v>77.25</v>
      </c>
    </row>
    <row r="704" spans="1:9" x14ac:dyDescent="0.25">
      <c r="A704">
        <v>1682</v>
      </c>
      <c r="B704" s="1">
        <v>45368</v>
      </c>
      <c r="C704">
        <v>48</v>
      </c>
      <c r="D704">
        <v>38</v>
      </c>
      <c r="E704">
        <v>4</v>
      </c>
      <c r="F704">
        <v>4</v>
      </c>
      <c r="G704" t="s">
        <v>1044</v>
      </c>
      <c r="H704">
        <f>_xlfn.XLOOKUP(D704, productos!$A$2:$A$150, productos!$D$2:$D$150, "No Encontrado", 0)</f>
        <v>6.21</v>
      </c>
      <c r="I704">
        <f t="shared" si="10"/>
        <v>24.84</v>
      </c>
    </row>
    <row r="705" spans="1:9" x14ac:dyDescent="0.25">
      <c r="A705">
        <v>2091</v>
      </c>
      <c r="B705" s="1">
        <v>45368</v>
      </c>
      <c r="C705">
        <v>44</v>
      </c>
      <c r="D705">
        <v>21</v>
      </c>
      <c r="E705">
        <v>3</v>
      </c>
      <c r="F705">
        <v>5</v>
      </c>
      <c r="G705" t="s">
        <v>1044</v>
      </c>
      <c r="H705">
        <f>_xlfn.XLOOKUP(D705, productos!$A$2:$A$150, productos!$D$2:$D$150, "No Encontrado", 0)</f>
        <v>3.25</v>
      </c>
      <c r="I705">
        <f t="shared" si="10"/>
        <v>9.75</v>
      </c>
    </row>
    <row r="706" spans="1:9" x14ac:dyDescent="0.25">
      <c r="A706">
        <v>2261</v>
      </c>
      <c r="B706" s="1">
        <v>45368</v>
      </c>
      <c r="C706">
        <v>305</v>
      </c>
      <c r="D706">
        <v>4</v>
      </c>
      <c r="E706">
        <v>6</v>
      </c>
      <c r="F706">
        <v>4</v>
      </c>
      <c r="G706" t="s">
        <v>1044</v>
      </c>
      <c r="H706">
        <f>_xlfn.XLOOKUP(D706, productos!$A$2:$A$150, productos!$D$2:$D$150, "No Encontrado", 0)</f>
        <v>19.23</v>
      </c>
      <c r="I706">
        <f t="shared" si="10"/>
        <v>115.38</v>
      </c>
    </row>
    <row r="707" spans="1:9" x14ac:dyDescent="0.25">
      <c r="A707">
        <v>2478</v>
      </c>
      <c r="B707" s="1">
        <v>45368</v>
      </c>
      <c r="C707">
        <v>109</v>
      </c>
      <c r="D707">
        <v>29</v>
      </c>
      <c r="E707">
        <v>3</v>
      </c>
      <c r="F707">
        <v>3</v>
      </c>
      <c r="G707" t="s">
        <v>1044</v>
      </c>
      <c r="H707">
        <f>_xlfn.XLOOKUP(D707, productos!$A$2:$A$150, productos!$D$2:$D$150, "No Encontrado", 0)</f>
        <v>11.54</v>
      </c>
      <c r="I707">
        <f t="shared" ref="I707:I770" si="11">E707*H707</f>
        <v>34.619999999999997</v>
      </c>
    </row>
    <row r="708" spans="1:9" x14ac:dyDescent="0.25">
      <c r="A708">
        <v>414</v>
      </c>
      <c r="B708" s="1">
        <v>45369</v>
      </c>
      <c r="C708">
        <v>151</v>
      </c>
      <c r="D708">
        <v>35</v>
      </c>
      <c r="E708">
        <v>3</v>
      </c>
      <c r="F708">
        <v>5</v>
      </c>
      <c r="G708" t="s">
        <v>1044</v>
      </c>
      <c r="H708">
        <f>_xlfn.XLOOKUP(D708, productos!$A$2:$A$150, productos!$D$2:$D$150, "No Encontrado", 0)</f>
        <v>4.25</v>
      </c>
      <c r="I708">
        <f t="shared" si="11"/>
        <v>12.75</v>
      </c>
    </row>
    <row r="709" spans="1:9" x14ac:dyDescent="0.25">
      <c r="A709">
        <v>1133</v>
      </c>
      <c r="B709" s="1">
        <v>45369</v>
      </c>
      <c r="C709">
        <v>313</v>
      </c>
      <c r="D709">
        <v>32</v>
      </c>
      <c r="E709">
        <v>4</v>
      </c>
      <c r="F709">
        <v>5</v>
      </c>
      <c r="G709" t="s">
        <v>1044</v>
      </c>
      <c r="H709">
        <f>_xlfn.XLOOKUP(D709, productos!$A$2:$A$150, productos!$D$2:$D$150, "No Encontrado", 0)</f>
        <v>6.25</v>
      </c>
      <c r="I709">
        <f t="shared" si="11"/>
        <v>25</v>
      </c>
    </row>
    <row r="710" spans="1:9" x14ac:dyDescent="0.25">
      <c r="A710">
        <v>1156</v>
      </c>
      <c r="B710" s="1">
        <v>45369</v>
      </c>
      <c r="C710">
        <v>37</v>
      </c>
      <c r="D710">
        <v>2</v>
      </c>
      <c r="E710">
        <v>3</v>
      </c>
      <c r="F710">
        <v>1</v>
      </c>
      <c r="G710" t="s">
        <v>1044</v>
      </c>
      <c r="H710">
        <f>_xlfn.XLOOKUP(D710, productos!$A$2:$A$150, productos!$D$2:$D$150, "No Encontrado", 0)</f>
        <v>5.21</v>
      </c>
      <c r="I710">
        <f t="shared" si="11"/>
        <v>15.629999999999999</v>
      </c>
    </row>
    <row r="711" spans="1:9" x14ac:dyDescent="0.25">
      <c r="A711">
        <v>1545</v>
      </c>
      <c r="B711" s="1">
        <v>45369</v>
      </c>
      <c r="C711">
        <v>8</v>
      </c>
      <c r="D711">
        <v>19</v>
      </c>
      <c r="E711">
        <v>2</v>
      </c>
      <c r="F711">
        <v>1</v>
      </c>
      <c r="G711" t="s">
        <v>1044</v>
      </c>
      <c r="H711">
        <f>_xlfn.XLOOKUP(D711, productos!$A$2:$A$150, productos!$D$2:$D$150, "No Encontrado", 0)</f>
        <v>6.54</v>
      </c>
      <c r="I711">
        <f t="shared" si="11"/>
        <v>13.08</v>
      </c>
    </row>
    <row r="712" spans="1:9" x14ac:dyDescent="0.25">
      <c r="A712">
        <v>2135</v>
      </c>
      <c r="B712" s="1">
        <v>45369</v>
      </c>
      <c r="C712">
        <v>50</v>
      </c>
      <c r="D712">
        <v>31</v>
      </c>
      <c r="E712">
        <v>6</v>
      </c>
      <c r="F712">
        <v>4</v>
      </c>
      <c r="G712" t="s">
        <v>1044</v>
      </c>
      <c r="H712">
        <f>_xlfn.XLOOKUP(D712, productos!$A$2:$A$150, productos!$D$2:$D$150, "No Encontrado", 0)</f>
        <v>5.24</v>
      </c>
      <c r="I712">
        <f t="shared" si="11"/>
        <v>31.44</v>
      </c>
    </row>
    <row r="713" spans="1:9" x14ac:dyDescent="0.25">
      <c r="A713">
        <v>2917</v>
      </c>
      <c r="B713" s="1">
        <v>45369</v>
      </c>
      <c r="C713">
        <v>17</v>
      </c>
      <c r="D713">
        <v>35</v>
      </c>
      <c r="E713">
        <v>5</v>
      </c>
      <c r="F713">
        <v>3</v>
      </c>
      <c r="G713" t="s">
        <v>1045</v>
      </c>
      <c r="H713">
        <f>_xlfn.XLOOKUP(D713, productos!$A$2:$A$150, productos!$D$2:$D$150, "No Encontrado", 0)</f>
        <v>4.25</v>
      </c>
      <c r="I713">
        <f t="shared" si="11"/>
        <v>21.25</v>
      </c>
    </row>
    <row r="714" spans="1:9" x14ac:dyDescent="0.25">
      <c r="A714">
        <v>2981</v>
      </c>
      <c r="B714" s="1">
        <v>45369</v>
      </c>
      <c r="C714">
        <v>36</v>
      </c>
      <c r="D714">
        <v>11</v>
      </c>
      <c r="E714">
        <v>2</v>
      </c>
      <c r="F714">
        <v>4</v>
      </c>
      <c r="G714" t="s">
        <v>1044</v>
      </c>
      <c r="H714">
        <f>_xlfn.XLOOKUP(D714, productos!$A$2:$A$150, productos!$D$2:$D$150, "No Encontrado", 0)</f>
        <v>11.23</v>
      </c>
      <c r="I714">
        <f t="shared" si="11"/>
        <v>22.46</v>
      </c>
    </row>
    <row r="715" spans="1:9" x14ac:dyDescent="0.25">
      <c r="A715">
        <v>1357</v>
      </c>
      <c r="B715" s="1">
        <v>45370</v>
      </c>
      <c r="C715">
        <v>71</v>
      </c>
      <c r="D715">
        <v>23</v>
      </c>
      <c r="E715">
        <v>5</v>
      </c>
      <c r="F715">
        <v>1</v>
      </c>
      <c r="G715" t="s">
        <v>1045</v>
      </c>
      <c r="H715">
        <f>_xlfn.XLOOKUP(D715, productos!$A$2:$A$150, productos!$D$2:$D$150, "No Encontrado", 0)</f>
        <v>8.23</v>
      </c>
      <c r="I715">
        <f t="shared" si="11"/>
        <v>41.150000000000006</v>
      </c>
    </row>
    <row r="716" spans="1:9" x14ac:dyDescent="0.25">
      <c r="A716">
        <v>1777</v>
      </c>
      <c r="B716" s="1">
        <v>45370</v>
      </c>
      <c r="C716">
        <v>113</v>
      </c>
      <c r="D716">
        <v>3</v>
      </c>
      <c r="E716">
        <v>2</v>
      </c>
      <c r="F716">
        <v>5</v>
      </c>
      <c r="G716" t="s">
        <v>1044</v>
      </c>
      <c r="H716">
        <f>_xlfn.XLOOKUP(D716, productos!$A$2:$A$150, productos!$D$2:$D$150, "No Encontrado", 0)</f>
        <v>17.23</v>
      </c>
      <c r="I716">
        <f t="shared" si="11"/>
        <v>34.46</v>
      </c>
    </row>
    <row r="717" spans="1:9" x14ac:dyDescent="0.25">
      <c r="A717">
        <v>1874</v>
      </c>
      <c r="B717" s="1">
        <v>45370</v>
      </c>
      <c r="C717">
        <v>92</v>
      </c>
      <c r="D717">
        <v>15</v>
      </c>
      <c r="E717">
        <v>4</v>
      </c>
      <c r="F717">
        <v>3</v>
      </c>
      <c r="G717" t="s">
        <v>1044</v>
      </c>
      <c r="H717">
        <f>_xlfn.XLOOKUP(D717, productos!$A$2:$A$150, productos!$D$2:$D$150, "No Encontrado", 0)</f>
        <v>3.51</v>
      </c>
      <c r="I717">
        <f t="shared" si="11"/>
        <v>14.04</v>
      </c>
    </row>
    <row r="718" spans="1:9" x14ac:dyDescent="0.25">
      <c r="A718">
        <v>2112</v>
      </c>
      <c r="B718" s="1">
        <v>45370</v>
      </c>
      <c r="C718">
        <v>119</v>
      </c>
      <c r="D718">
        <v>22</v>
      </c>
      <c r="E718">
        <v>4</v>
      </c>
      <c r="F718">
        <v>2</v>
      </c>
      <c r="G718" t="s">
        <v>1045</v>
      </c>
      <c r="H718">
        <f>_xlfn.XLOOKUP(D718, productos!$A$2:$A$150, productos!$D$2:$D$150, "No Encontrado", 0)</f>
        <v>4.21</v>
      </c>
      <c r="I718">
        <f t="shared" si="11"/>
        <v>16.84</v>
      </c>
    </row>
    <row r="719" spans="1:9" x14ac:dyDescent="0.25">
      <c r="A719">
        <v>2563</v>
      </c>
      <c r="B719" s="1">
        <v>45370</v>
      </c>
      <c r="C719">
        <v>99</v>
      </c>
      <c r="D719">
        <v>15</v>
      </c>
      <c r="E719">
        <v>4</v>
      </c>
      <c r="F719">
        <v>4</v>
      </c>
      <c r="G719" t="s">
        <v>1044</v>
      </c>
      <c r="H719">
        <f>_xlfn.XLOOKUP(D719, productos!$A$2:$A$150, productos!$D$2:$D$150, "No Encontrado", 0)</f>
        <v>3.51</v>
      </c>
      <c r="I719">
        <f t="shared" si="11"/>
        <v>14.04</v>
      </c>
    </row>
    <row r="720" spans="1:9" x14ac:dyDescent="0.25">
      <c r="A720">
        <v>2585</v>
      </c>
      <c r="B720" s="1">
        <v>45370</v>
      </c>
      <c r="C720">
        <v>323</v>
      </c>
      <c r="D720">
        <v>19</v>
      </c>
      <c r="E720">
        <v>1</v>
      </c>
      <c r="F720">
        <v>1</v>
      </c>
      <c r="G720" t="s">
        <v>1044</v>
      </c>
      <c r="H720">
        <f>_xlfn.XLOOKUP(D720, productos!$A$2:$A$150, productos!$D$2:$D$150, "No Encontrado", 0)</f>
        <v>6.54</v>
      </c>
      <c r="I720">
        <f t="shared" si="11"/>
        <v>6.54</v>
      </c>
    </row>
    <row r="721" spans="1:9" x14ac:dyDescent="0.25">
      <c r="A721">
        <v>2628</v>
      </c>
      <c r="B721" s="1">
        <v>45370</v>
      </c>
      <c r="C721">
        <v>195</v>
      </c>
      <c r="D721">
        <v>14</v>
      </c>
      <c r="E721">
        <v>5</v>
      </c>
      <c r="F721">
        <v>2</v>
      </c>
      <c r="G721" t="s">
        <v>1044</v>
      </c>
      <c r="H721">
        <f>_xlfn.XLOOKUP(D721, productos!$A$2:$A$150, productos!$D$2:$D$150, "No Encontrado", 0)</f>
        <v>12.36</v>
      </c>
      <c r="I721">
        <f t="shared" si="11"/>
        <v>61.8</v>
      </c>
    </row>
    <row r="722" spans="1:9" x14ac:dyDescent="0.25">
      <c r="A722">
        <v>741</v>
      </c>
      <c r="B722" s="1">
        <v>45371</v>
      </c>
      <c r="C722">
        <v>222</v>
      </c>
      <c r="D722">
        <v>31</v>
      </c>
      <c r="E722">
        <v>6</v>
      </c>
      <c r="F722">
        <v>5</v>
      </c>
      <c r="G722" t="s">
        <v>1044</v>
      </c>
      <c r="H722">
        <f>_xlfn.XLOOKUP(D722, productos!$A$2:$A$150, productos!$D$2:$D$150, "No Encontrado", 0)</f>
        <v>5.24</v>
      </c>
      <c r="I722">
        <f t="shared" si="11"/>
        <v>31.44</v>
      </c>
    </row>
    <row r="723" spans="1:9" x14ac:dyDescent="0.25">
      <c r="A723">
        <v>968</v>
      </c>
      <c r="B723" s="1">
        <v>45371</v>
      </c>
      <c r="C723">
        <v>3</v>
      </c>
      <c r="D723">
        <v>23</v>
      </c>
      <c r="E723">
        <v>3</v>
      </c>
      <c r="F723">
        <v>4</v>
      </c>
      <c r="G723" t="s">
        <v>1044</v>
      </c>
      <c r="H723">
        <f>_xlfn.XLOOKUP(D723, productos!$A$2:$A$150, productos!$D$2:$D$150, "No Encontrado", 0)</f>
        <v>8.23</v>
      </c>
      <c r="I723">
        <f t="shared" si="11"/>
        <v>24.69</v>
      </c>
    </row>
    <row r="724" spans="1:9" x14ac:dyDescent="0.25">
      <c r="A724">
        <v>1071</v>
      </c>
      <c r="B724" s="1">
        <v>45371</v>
      </c>
      <c r="C724">
        <v>135</v>
      </c>
      <c r="D724">
        <v>14</v>
      </c>
      <c r="E724">
        <v>6</v>
      </c>
      <c r="F724">
        <v>4</v>
      </c>
      <c r="G724" t="s">
        <v>1044</v>
      </c>
      <c r="H724">
        <f>_xlfn.XLOOKUP(D724, productos!$A$2:$A$150, productos!$D$2:$D$150, "No Encontrado", 0)</f>
        <v>12.36</v>
      </c>
      <c r="I724">
        <f t="shared" si="11"/>
        <v>74.16</v>
      </c>
    </row>
    <row r="725" spans="1:9" x14ac:dyDescent="0.25">
      <c r="A725">
        <v>1108</v>
      </c>
      <c r="B725" s="1">
        <v>45371</v>
      </c>
      <c r="C725">
        <v>270</v>
      </c>
      <c r="D725">
        <v>25</v>
      </c>
      <c r="E725">
        <v>6</v>
      </c>
      <c r="F725">
        <v>2</v>
      </c>
      <c r="G725" t="s">
        <v>1045</v>
      </c>
      <c r="H725">
        <f>_xlfn.XLOOKUP(D725, productos!$A$2:$A$150, productos!$D$2:$D$150, "No Encontrado", 0)</f>
        <v>15.45</v>
      </c>
      <c r="I725">
        <f t="shared" si="11"/>
        <v>92.699999999999989</v>
      </c>
    </row>
    <row r="726" spans="1:9" x14ac:dyDescent="0.25">
      <c r="A726">
        <v>1130</v>
      </c>
      <c r="B726" s="1">
        <v>45371</v>
      </c>
      <c r="C726">
        <v>213</v>
      </c>
      <c r="D726">
        <v>4</v>
      </c>
      <c r="E726">
        <v>2</v>
      </c>
      <c r="F726">
        <v>2</v>
      </c>
      <c r="G726" t="s">
        <v>1044</v>
      </c>
      <c r="H726">
        <f>_xlfn.XLOOKUP(D726, productos!$A$2:$A$150, productos!$D$2:$D$150, "No Encontrado", 0)</f>
        <v>19.23</v>
      </c>
      <c r="I726">
        <f t="shared" si="11"/>
        <v>38.46</v>
      </c>
    </row>
    <row r="727" spans="1:9" x14ac:dyDescent="0.25">
      <c r="A727">
        <v>1903</v>
      </c>
      <c r="B727" s="1">
        <v>45371</v>
      </c>
      <c r="C727">
        <v>278</v>
      </c>
      <c r="D727">
        <v>33</v>
      </c>
      <c r="E727">
        <v>2</v>
      </c>
      <c r="F727">
        <v>5</v>
      </c>
      <c r="G727" t="s">
        <v>1044</v>
      </c>
      <c r="H727">
        <f>_xlfn.XLOOKUP(D727, productos!$A$2:$A$150, productos!$D$2:$D$150, "No Encontrado", 0)</f>
        <v>8.5399999999999991</v>
      </c>
      <c r="I727">
        <f t="shared" si="11"/>
        <v>17.079999999999998</v>
      </c>
    </row>
    <row r="728" spans="1:9" x14ac:dyDescent="0.25">
      <c r="A728">
        <v>1920</v>
      </c>
      <c r="B728" s="1">
        <v>45371</v>
      </c>
      <c r="C728">
        <v>184</v>
      </c>
      <c r="D728">
        <v>36</v>
      </c>
      <c r="E728">
        <v>6</v>
      </c>
      <c r="F728">
        <v>3</v>
      </c>
      <c r="G728" t="s">
        <v>1044</v>
      </c>
      <c r="H728">
        <f>_xlfn.XLOOKUP(D728, productos!$A$2:$A$150, productos!$D$2:$D$150, "No Encontrado", 0)</f>
        <v>3.25</v>
      </c>
      <c r="I728">
        <f t="shared" si="11"/>
        <v>19.5</v>
      </c>
    </row>
    <row r="729" spans="1:9" x14ac:dyDescent="0.25">
      <c r="A729">
        <v>1984</v>
      </c>
      <c r="B729" s="1">
        <v>45371</v>
      </c>
      <c r="C729">
        <v>321</v>
      </c>
      <c r="D729">
        <v>38</v>
      </c>
      <c r="E729">
        <v>2</v>
      </c>
      <c r="F729">
        <v>1</v>
      </c>
      <c r="G729" t="s">
        <v>1045</v>
      </c>
      <c r="H729">
        <f>_xlfn.XLOOKUP(D729, productos!$A$2:$A$150, productos!$D$2:$D$150, "No Encontrado", 0)</f>
        <v>6.21</v>
      </c>
      <c r="I729">
        <f t="shared" si="11"/>
        <v>12.42</v>
      </c>
    </row>
    <row r="730" spans="1:9" x14ac:dyDescent="0.25">
      <c r="A730">
        <v>2054</v>
      </c>
      <c r="B730" s="1">
        <v>45371</v>
      </c>
      <c r="C730">
        <v>209</v>
      </c>
      <c r="D730">
        <v>37</v>
      </c>
      <c r="E730">
        <v>3</v>
      </c>
      <c r="F730">
        <v>5</v>
      </c>
      <c r="G730" t="s">
        <v>1044</v>
      </c>
      <c r="H730">
        <f>_xlfn.XLOOKUP(D730, productos!$A$2:$A$150, productos!$D$2:$D$150, "No Encontrado", 0)</f>
        <v>3.65</v>
      </c>
      <c r="I730">
        <f t="shared" si="11"/>
        <v>10.95</v>
      </c>
    </row>
    <row r="731" spans="1:9" x14ac:dyDescent="0.25">
      <c r="A731">
        <v>2720</v>
      </c>
      <c r="B731" s="1">
        <v>45371</v>
      </c>
      <c r="C731">
        <v>145</v>
      </c>
      <c r="D731">
        <v>7</v>
      </c>
      <c r="E731">
        <v>4</v>
      </c>
      <c r="F731">
        <v>3</v>
      </c>
      <c r="G731" t="s">
        <v>1044</v>
      </c>
      <c r="H731">
        <f>_xlfn.XLOOKUP(D731, productos!$A$2:$A$150, productos!$D$2:$D$150, "No Encontrado", 0)</f>
        <v>11.25</v>
      </c>
      <c r="I731">
        <f t="shared" si="11"/>
        <v>45</v>
      </c>
    </row>
    <row r="732" spans="1:9" x14ac:dyDescent="0.25">
      <c r="A732">
        <v>911</v>
      </c>
      <c r="B732" s="1">
        <v>45372</v>
      </c>
      <c r="C732">
        <v>288</v>
      </c>
      <c r="D732">
        <v>19</v>
      </c>
      <c r="E732">
        <v>1</v>
      </c>
      <c r="F732">
        <v>4</v>
      </c>
      <c r="G732" t="s">
        <v>1044</v>
      </c>
      <c r="H732">
        <f>_xlfn.XLOOKUP(D732, productos!$A$2:$A$150, productos!$D$2:$D$150, "No Encontrado", 0)</f>
        <v>6.54</v>
      </c>
      <c r="I732">
        <f t="shared" si="11"/>
        <v>6.54</v>
      </c>
    </row>
    <row r="733" spans="1:9" x14ac:dyDescent="0.25">
      <c r="A733">
        <v>1096</v>
      </c>
      <c r="B733" s="1">
        <v>45372</v>
      </c>
      <c r="C733">
        <v>204</v>
      </c>
      <c r="D733">
        <v>37</v>
      </c>
      <c r="E733">
        <v>5</v>
      </c>
      <c r="F733">
        <v>4</v>
      </c>
      <c r="G733" t="s">
        <v>1044</v>
      </c>
      <c r="H733">
        <f>_xlfn.XLOOKUP(D733, productos!$A$2:$A$150, productos!$D$2:$D$150, "No Encontrado", 0)</f>
        <v>3.65</v>
      </c>
      <c r="I733">
        <f t="shared" si="11"/>
        <v>18.25</v>
      </c>
    </row>
    <row r="734" spans="1:9" x14ac:dyDescent="0.25">
      <c r="A734">
        <v>1098</v>
      </c>
      <c r="B734" s="1">
        <v>45372</v>
      </c>
      <c r="C734">
        <v>178</v>
      </c>
      <c r="D734">
        <v>25</v>
      </c>
      <c r="E734">
        <v>3</v>
      </c>
      <c r="F734">
        <v>4</v>
      </c>
      <c r="G734" t="s">
        <v>1044</v>
      </c>
      <c r="H734">
        <f>_xlfn.XLOOKUP(D734, productos!$A$2:$A$150, productos!$D$2:$D$150, "No Encontrado", 0)</f>
        <v>15.45</v>
      </c>
      <c r="I734">
        <f t="shared" si="11"/>
        <v>46.349999999999994</v>
      </c>
    </row>
    <row r="735" spans="1:9" x14ac:dyDescent="0.25">
      <c r="A735">
        <v>1473</v>
      </c>
      <c r="B735" s="1">
        <v>45372</v>
      </c>
      <c r="C735">
        <v>255</v>
      </c>
      <c r="D735">
        <v>18</v>
      </c>
      <c r="E735">
        <v>1</v>
      </c>
      <c r="F735">
        <v>5</v>
      </c>
      <c r="G735" t="s">
        <v>1045</v>
      </c>
      <c r="H735">
        <f>_xlfn.XLOOKUP(D735, productos!$A$2:$A$150, productos!$D$2:$D$150, "No Encontrado", 0)</f>
        <v>7.25</v>
      </c>
      <c r="I735">
        <f t="shared" si="11"/>
        <v>7.25</v>
      </c>
    </row>
    <row r="736" spans="1:9" x14ac:dyDescent="0.25">
      <c r="A736">
        <v>1606</v>
      </c>
      <c r="B736" s="1">
        <v>45372</v>
      </c>
      <c r="C736">
        <v>278</v>
      </c>
      <c r="D736">
        <v>27</v>
      </c>
      <c r="E736">
        <v>6</v>
      </c>
      <c r="F736">
        <v>4</v>
      </c>
      <c r="G736" t="s">
        <v>1044</v>
      </c>
      <c r="H736">
        <f>_xlfn.XLOOKUP(D736, productos!$A$2:$A$150, productos!$D$2:$D$150, "No Encontrado", 0)</f>
        <v>6.21</v>
      </c>
      <c r="I736">
        <f t="shared" si="11"/>
        <v>37.26</v>
      </c>
    </row>
    <row r="737" spans="1:9" x14ac:dyDescent="0.25">
      <c r="A737">
        <v>1998</v>
      </c>
      <c r="B737" s="1">
        <v>45372</v>
      </c>
      <c r="C737">
        <v>279</v>
      </c>
      <c r="D737">
        <v>31</v>
      </c>
      <c r="E737">
        <v>1</v>
      </c>
      <c r="F737">
        <v>1</v>
      </c>
      <c r="G737" t="s">
        <v>1045</v>
      </c>
      <c r="H737">
        <f>_xlfn.XLOOKUP(D737, productos!$A$2:$A$150, productos!$D$2:$D$150, "No Encontrado", 0)</f>
        <v>5.24</v>
      </c>
      <c r="I737">
        <f t="shared" si="11"/>
        <v>5.24</v>
      </c>
    </row>
    <row r="738" spans="1:9" x14ac:dyDescent="0.25">
      <c r="A738">
        <v>2243</v>
      </c>
      <c r="B738" s="1">
        <v>45372</v>
      </c>
      <c r="C738">
        <v>326</v>
      </c>
      <c r="D738">
        <v>18</v>
      </c>
      <c r="E738">
        <v>2</v>
      </c>
      <c r="F738">
        <v>2</v>
      </c>
      <c r="G738" t="s">
        <v>1044</v>
      </c>
      <c r="H738">
        <f>_xlfn.XLOOKUP(D738, productos!$A$2:$A$150, productos!$D$2:$D$150, "No Encontrado", 0)</f>
        <v>7.25</v>
      </c>
      <c r="I738">
        <f t="shared" si="11"/>
        <v>14.5</v>
      </c>
    </row>
    <row r="739" spans="1:9" x14ac:dyDescent="0.25">
      <c r="A739">
        <v>2397</v>
      </c>
      <c r="B739" s="1">
        <v>45372</v>
      </c>
      <c r="C739">
        <v>238</v>
      </c>
      <c r="D739">
        <v>32</v>
      </c>
      <c r="E739">
        <v>2</v>
      </c>
      <c r="F739">
        <v>3</v>
      </c>
      <c r="G739" t="s">
        <v>1044</v>
      </c>
      <c r="H739">
        <f>_xlfn.XLOOKUP(D739, productos!$A$2:$A$150, productos!$D$2:$D$150, "No Encontrado", 0)</f>
        <v>6.25</v>
      </c>
      <c r="I739">
        <f t="shared" si="11"/>
        <v>12.5</v>
      </c>
    </row>
    <row r="740" spans="1:9" x14ac:dyDescent="0.25">
      <c r="A740">
        <v>416</v>
      </c>
      <c r="B740" s="1">
        <v>45373</v>
      </c>
      <c r="C740">
        <v>110</v>
      </c>
      <c r="D740">
        <v>29</v>
      </c>
      <c r="E740">
        <v>2</v>
      </c>
      <c r="F740">
        <v>4</v>
      </c>
      <c r="G740" t="s">
        <v>1044</v>
      </c>
      <c r="H740">
        <f>_xlfn.XLOOKUP(D740, productos!$A$2:$A$150, productos!$D$2:$D$150, "No Encontrado", 0)</f>
        <v>11.54</v>
      </c>
      <c r="I740">
        <f t="shared" si="11"/>
        <v>23.08</v>
      </c>
    </row>
    <row r="741" spans="1:9" x14ac:dyDescent="0.25">
      <c r="A741">
        <v>608</v>
      </c>
      <c r="B741" s="1">
        <v>45373</v>
      </c>
      <c r="C741">
        <v>105</v>
      </c>
      <c r="D741">
        <v>14</v>
      </c>
      <c r="E741">
        <v>5</v>
      </c>
      <c r="F741">
        <v>3</v>
      </c>
      <c r="G741" t="s">
        <v>1044</v>
      </c>
      <c r="H741">
        <f>_xlfn.XLOOKUP(D741, productos!$A$2:$A$150, productos!$D$2:$D$150, "No Encontrado", 0)</f>
        <v>12.36</v>
      </c>
      <c r="I741">
        <f t="shared" si="11"/>
        <v>61.8</v>
      </c>
    </row>
    <row r="742" spans="1:9" x14ac:dyDescent="0.25">
      <c r="A742">
        <v>1028</v>
      </c>
      <c r="B742" s="1">
        <v>45373</v>
      </c>
      <c r="C742">
        <v>267</v>
      </c>
      <c r="D742">
        <v>31</v>
      </c>
      <c r="E742">
        <v>3</v>
      </c>
      <c r="F742">
        <v>4</v>
      </c>
      <c r="G742" t="s">
        <v>1044</v>
      </c>
      <c r="H742">
        <f>_xlfn.XLOOKUP(D742, productos!$A$2:$A$150, productos!$D$2:$D$150, "No Encontrado", 0)</f>
        <v>5.24</v>
      </c>
      <c r="I742">
        <f t="shared" si="11"/>
        <v>15.72</v>
      </c>
    </row>
    <row r="743" spans="1:9" x14ac:dyDescent="0.25">
      <c r="A743">
        <v>1118</v>
      </c>
      <c r="B743" s="1">
        <v>45373</v>
      </c>
      <c r="C743">
        <v>106</v>
      </c>
      <c r="D743">
        <v>13</v>
      </c>
      <c r="E743">
        <v>2</v>
      </c>
      <c r="F743">
        <v>1</v>
      </c>
      <c r="G743" t="s">
        <v>1044</v>
      </c>
      <c r="H743">
        <f>_xlfn.XLOOKUP(D743, productos!$A$2:$A$150, productos!$D$2:$D$150, "No Encontrado", 0)</f>
        <v>12.56</v>
      </c>
      <c r="I743">
        <f t="shared" si="11"/>
        <v>25.12</v>
      </c>
    </row>
    <row r="744" spans="1:9" x14ac:dyDescent="0.25">
      <c r="A744">
        <v>1210</v>
      </c>
      <c r="B744" s="1">
        <v>45373</v>
      </c>
      <c r="C744">
        <v>266</v>
      </c>
      <c r="D744">
        <v>6</v>
      </c>
      <c r="E744">
        <v>4</v>
      </c>
      <c r="F744">
        <v>5</v>
      </c>
      <c r="G744" t="s">
        <v>1044</v>
      </c>
      <c r="H744">
        <f>_xlfn.XLOOKUP(D744, productos!$A$2:$A$150, productos!$D$2:$D$150, "No Encontrado", 0)</f>
        <v>28.56</v>
      </c>
      <c r="I744">
        <f t="shared" si="11"/>
        <v>114.24</v>
      </c>
    </row>
    <row r="745" spans="1:9" x14ac:dyDescent="0.25">
      <c r="A745">
        <v>1504</v>
      </c>
      <c r="B745" s="1">
        <v>45373</v>
      </c>
      <c r="C745">
        <v>168</v>
      </c>
      <c r="D745">
        <v>3</v>
      </c>
      <c r="E745">
        <v>4</v>
      </c>
      <c r="F745">
        <v>4</v>
      </c>
      <c r="G745" t="s">
        <v>1044</v>
      </c>
      <c r="H745">
        <f>_xlfn.XLOOKUP(D745, productos!$A$2:$A$150, productos!$D$2:$D$150, "No Encontrado", 0)</f>
        <v>17.23</v>
      </c>
      <c r="I745">
        <f t="shared" si="11"/>
        <v>68.92</v>
      </c>
    </row>
    <row r="746" spans="1:9" x14ac:dyDescent="0.25">
      <c r="A746">
        <v>1773</v>
      </c>
      <c r="B746" s="1">
        <v>45373</v>
      </c>
      <c r="C746">
        <v>88</v>
      </c>
      <c r="D746">
        <v>25</v>
      </c>
      <c r="E746">
        <v>4</v>
      </c>
      <c r="F746">
        <v>5</v>
      </c>
      <c r="G746" t="s">
        <v>1044</v>
      </c>
      <c r="H746">
        <f>_xlfn.XLOOKUP(D746, productos!$A$2:$A$150, productos!$D$2:$D$150, "No Encontrado", 0)</f>
        <v>15.45</v>
      </c>
      <c r="I746">
        <f t="shared" si="11"/>
        <v>61.8</v>
      </c>
    </row>
    <row r="747" spans="1:9" x14ac:dyDescent="0.25">
      <c r="A747">
        <v>1809</v>
      </c>
      <c r="B747" s="1">
        <v>45373</v>
      </c>
      <c r="C747">
        <v>90</v>
      </c>
      <c r="D747">
        <v>31</v>
      </c>
      <c r="E747">
        <v>3</v>
      </c>
      <c r="F747">
        <v>3</v>
      </c>
      <c r="G747" t="s">
        <v>1044</v>
      </c>
      <c r="H747">
        <f>_xlfn.XLOOKUP(D747, productos!$A$2:$A$150, productos!$D$2:$D$150, "No Encontrado", 0)</f>
        <v>5.24</v>
      </c>
      <c r="I747">
        <f t="shared" si="11"/>
        <v>15.72</v>
      </c>
    </row>
    <row r="748" spans="1:9" x14ac:dyDescent="0.25">
      <c r="A748">
        <v>2040</v>
      </c>
      <c r="B748" s="1">
        <v>45373</v>
      </c>
      <c r="C748">
        <v>313</v>
      </c>
      <c r="D748">
        <v>12</v>
      </c>
      <c r="E748">
        <v>5</v>
      </c>
      <c r="F748">
        <v>1</v>
      </c>
      <c r="G748" t="s">
        <v>1044</v>
      </c>
      <c r="H748">
        <f>_xlfn.XLOOKUP(D748, productos!$A$2:$A$150, productos!$D$2:$D$150, "No Encontrado", 0)</f>
        <v>8.1199999999999992</v>
      </c>
      <c r="I748">
        <f t="shared" si="11"/>
        <v>40.599999999999994</v>
      </c>
    </row>
    <row r="749" spans="1:9" x14ac:dyDescent="0.25">
      <c r="A749">
        <v>2251</v>
      </c>
      <c r="B749" s="1">
        <v>45373</v>
      </c>
      <c r="C749">
        <v>238</v>
      </c>
      <c r="D749">
        <v>36</v>
      </c>
      <c r="E749">
        <v>4</v>
      </c>
      <c r="F749">
        <v>5</v>
      </c>
      <c r="G749" t="s">
        <v>1044</v>
      </c>
      <c r="H749">
        <f>_xlfn.XLOOKUP(D749, productos!$A$2:$A$150, productos!$D$2:$D$150, "No Encontrado", 0)</f>
        <v>3.25</v>
      </c>
      <c r="I749">
        <f t="shared" si="11"/>
        <v>13</v>
      </c>
    </row>
    <row r="750" spans="1:9" x14ac:dyDescent="0.25">
      <c r="A750">
        <v>2372</v>
      </c>
      <c r="B750" s="1">
        <v>45373</v>
      </c>
      <c r="C750">
        <v>177</v>
      </c>
      <c r="D750">
        <v>8</v>
      </c>
      <c r="E750">
        <v>1</v>
      </c>
      <c r="F750">
        <v>1</v>
      </c>
      <c r="G750" t="s">
        <v>1044</v>
      </c>
      <c r="H750">
        <f>_xlfn.XLOOKUP(D750, productos!$A$2:$A$150, productos!$D$2:$D$150, "No Encontrado", 0)</f>
        <v>16.21</v>
      </c>
      <c r="I750">
        <f t="shared" si="11"/>
        <v>16.21</v>
      </c>
    </row>
    <row r="751" spans="1:9" x14ac:dyDescent="0.25">
      <c r="A751">
        <v>2907</v>
      </c>
      <c r="B751" s="1">
        <v>45373</v>
      </c>
      <c r="C751">
        <v>207</v>
      </c>
      <c r="D751">
        <v>6</v>
      </c>
      <c r="E751">
        <v>2</v>
      </c>
      <c r="F751">
        <v>3</v>
      </c>
      <c r="G751" t="s">
        <v>1044</v>
      </c>
      <c r="H751">
        <f>_xlfn.XLOOKUP(D751, productos!$A$2:$A$150, productos!$D$2:$D$150, "No Encontrado", 0)</f>
        <v>28.56</v>
      </c>
      <c r="I751">
        <f t="shared" si="11"/>
        <v>57.12</v>
      </c>
    </row>
    <row r="752" spans="1:9" x14ac:dyDescent="0.25">
      <c r="A752">
        <v>405</v>
      </c>
      <c r="B752" s="1">
        <v>45374</v>
      </c>
      <c r="C752">
        <v>122</v>
      </c>
      <c r="D752">
        <v>16</v>
      </c>
      <c r="E752">
        <v>2</v>
      </c>
      <c r="F752">
        <v>4</v>
      </c>
      <c r="G752" t="s">
        <v>1045</v>
      </c>
      <c r="H752">
        <f>_xlfn.XLOOKUP(D752, productos!$A$2:$A$150, productos!$D$2:$D$150, "No Encontrado", 0)</f>
        <v>15.23</v>
      </c>
      <c r="I752">
        <f t="shared" si="11"/>
        <v>30.46</v>
      </c>
    </row>
    <row r="753" spans="1:9" x14ac:dyDescent="0.25">
      <c r="A753">
        <v>970</v>
      </c>
      <c r="B753" s="1">
        <v>45374</v>
      </c>
      <c r="C753">
        <v>212</v>
      </c>
      <c r="D753">
        <v>16</v>
      </c>
      <c r="E753">
        <v>6</v>
      </c>
      <c r="F753">
        <v>3</v>
      </c>
      <c r="G753" t="s">
        <v>1044</v>
      </c>
      <c r="H753">
        <f>_xlfn.XLOOKUP(D753, productos!$A$2:$A$150, productos!$D$2:$D$150, "No Encontrado", 0)</f>
        <v>15.23</v>
      </c>
      <c r="I753">
        <f t="shared" si="11"/>
        <v>91.38</v>
      </c>
    </row>
    <row r="754" spans="1:9" x14ac:dyDescent="0.25">
      <c r="A754">
        <v>1795</v>
      </c>
      <c r="B754" s="1">
        <v>45374</v>
      </c>
      <c r="C754">
        <v>1</v>
      </c>
      <c r="D754">
        <v>12</v>
      </c>
      <c r="E754">
        <v>6</v>
      </c>
      <c r="F754">
        <v>4</v>
      </c>
      <c r="G754" t="s">
        <v>1044</v>
      </c>
      <c r="H754">
        <f>_xlfn.XLOOKUP(D754, productos!$A$2:$A$150, productos!$D$2:$D$150, "No Encontrado", 0)</f>
        <v>8.1199999999999992</v>
      </c>
      <c r="I754">
        <f t="shared" si="11"/>
        <v>48.72</v>
      </c>
    </row>
    <row r="755" spans="1:9" x14ac:dyDescent="0.25">
      <c r="A755">
        <v>1814</v>
      </c>
      <c r="B755" s="1">
        <v>45374</v>
      </c>
      <c r="C755">
        <v>175</v>
      </c>
      <c r="D755">
        <v>4</v>
      </c>
      <c r="E755">
        <v>4</v>
      </c>
      <c r="F755">
        <v>1</v>
      </c>
      <c r="G755" t="s">
        <v>1044</v>
      </c>
      <c r="H755">
        <f>_xlfn.XLOOKUP(D755, productos!$A$2:$A$150, productos!$D$2:$D$150, "No Encontrado", 0)</f>
        <v>19.23</v>
      </c>
      <c r="I755">
        <f t="shared" si="11"/>
        <v>76.92</v>
      </c>
    </row>
    <row r="756" spans="1:9" x14ac:dyDescent="0.25">
      <c r="A756">
        <v>2258</v>
      </c>
      <c r="B756" s="1">
        <v>45374</v>
      </c>
      <c r="C756">
        <v>17</v>
      </c>
      <c r="D756">
        <v>33</v>
      </c>
      <c r="E756">
        <v>3</v>
      </c>
      <c r="F756">
        <v>4</v>
      </c>
      <c r="G756" t="s">
        <v>1044</v>
      </c>
      <c r="H756">
        <f>_xlfn.XLOOKUP(D756, productos!$A$2:$A$150, productos!$D$2:$D$150, "No Encontrado", 0)</f>
        <v>8.5399999999999991</v>
      </c>
      <c r="I756">
        <f t="shared" si="11"/>
        <v>25.619999999999997</v>
      </c>
    </row>
    <row r="757" spans="1:9" x14ac:dyDescent="0.25">
      <c r="A757">
        <v>2467</v>
      </c>
      <c r="B757" s="1">
        <v>45374</v>
      </c>
      <c r="C757">
        <v>25</v>
      </c>
      <c r="D757">
        <v>4</v>
      </c>
      <c r="E757">
        <v>3</v>
      </c>
      <c r="F757">
        <v>5</v>
      </c>
      <c r="G757" t="s">
        <v>1044</v>
      </c>
      <c r="H757">
        <f>_xlfn.XLOOKUP(D757, productos!$A$2:$A$150, productos!$D$2:$D$150, "No Encontrado", 0)</f>
        <v>19.23</v>
      </c>
      <c r="I757">
        <f t="shared" si="11"/>
        <v>57.69</v>
      </c>
    </row>
    <row r="758" spans="1:9" x14ac:dyDescent="0.25">
      <c r="A758">
        <v>2815</v>
      </c>
      <c r="B758" s="1">
        <v>45374</v>
      </c>
      <c r="C758">
        <v>171</v>
      </c>
      <c r="D758">
        <v>1</v>
      </c>
      <c r="E758">
        <v>6</v>
      </c>
      <c r="F758">
        <v>5</v>
      </c>
      <c r="G758" t="s">
        <v>1044</v>
      </c>
      <c r="H758">
        <f>_xlfn.XLOOKUP(D758, productos!$A$2:$A$150, productos!$D$2:$D$150, "No Encontrado", 0)</f>
        <v>12.24</v>
      </c>
      <c r="I758">
        <f t="shared" si="11"/>
        <v>73.44</v>
      </c>
    </row>
    <row r="759" spans="1:9" x14ac:dyDescent="0.25">
      <c r="A759">
        <v>785</v>
      </c>
      <c r="B759" s="1">
        <v>45375</v>
      </c>
      <c r="C759">
        <v>132</v>
      </c>
      <c r="D759">
        <v>9</v>
      </c>
      <c r="E759">
        <v>5</v>
      </c>
      <c r="F759">
        <v>5</v>
      </c>
      <c r="G759" t="s">
        <v>1044</v>
      </c>
      <c r="H759">
        <f>_xlfn.XLOOKUP(D759, productos!$A$2:$A$150, productos!$D$2:$D$150, "No Encontrado", 0)</f>
        <v>18.559999999999999</v>
      </c>
      <c r="I759">
        <f t="shared" si="11"/>
        <v>92.8</v>
      </c>
    </row>
    <row r="760" spans="1:9" x14ac:dyDescent="0.25">
      <c r="A760">
        <v>1549</v>
      </c>
      <c r="B760" s="1">
        <v>45375</v>
      </c>
      <c r="C760">
        <v>260</v>
      </c>
      <c r="D760">
        <v>17</v>
      </c>
      <c r="E760">
        <v>1</v>
      </c>
      <c r="F760">
        <v>2</v>
      </c>
      <c r="G760" t="s">
        <v>1044</v>
      </c>
      <c r="H760">
        <f>_xlfn.XLOOKUP(D760, productos!$A$2:$A$150, productos!$D$2:$D$150, "No Encontrado", 0)</f>
        <v>6.54</v>
      </c>
      <c r="I760">
        <f t="shared" si="11"/>
        <v>6.54</v>
      </c>
    </row>
    <row r="761" spans="1:9" x14ac:dyDescent="0.25">
      <c r="A761">
        <v>1942</v>
      </c>
      <c r="B761" s="1">
        <v>45375</v>
      </c>
      <c r="C761">
        <v>41</v>
      </c>
      <c r="D761">
        <v>31</v>
      </c>
      <c r="E761">
        <v>1</v>
      </c>
      <c r="F761">
        <v>4</v>
      </c>
      <c r="G761" t="s">
        <v>1045</v>
      </c>
      <c r="H761">
        <f>_xlfn.XLOOKUP(D761, productos!$A$2:$A$150, productos!$D$2:$D$150, "No Encontrado", 0)</f>
        <v>5.24</v>
      </c>
      <c r="I761">
        <f t="shared" si="11"/>
        <v>5.24</v>
      </c>
    </row>
    <row r="762" spans="1:9" x14ac:dyDescent="0.25">
      <c r="A762">
        <v>1947</v>
      </c>
      <c r="B762" s="1">
        <v>45375</v>
      </c>
      <c r="C762">
        <v>288</v>
      </c>
      <c r="D762">
        <v>29</v>
      </c>
      <c r="E762">
        <v>2</v>
      </c>
      <c r="F762">
        <v>5</v>
      </c>
      <c r="G762" t="s">
        <v>1044</v>
      </c>
      <c r="H762">
        <f>_xlfn.XLOOKUP(D762, productos!$A$2:$A$150, productos!$D$2:$D$150, "No Encontrado", 0)</f>
        <v>11.54</v>
      </c>
      <c r="I762">
        <f t="shared" si="11"/>
        <v>23.08</v>
      </c>
    </row>
    <row r="763" spans="1:9" x14ac:dyDescent="0.25">
      <c r="A763">
        <v>2008</v>
      </c>
      <c r="B763" s="1">
        <v>45375</v>
      </c>
      <c r="C763">
        <v>162</v>
      </c>
      <c r="D763">
        <v>15</v>
      </c>
      <c r="E763">
        <v>4</v>
      </c>
      <c r="F763">
        <v>4</v>
      </c>
      <c r="G763" t="s">
        <v>1044</v>
      </c>
      <c r="H763">
        <f>_xlfn.XLOOKUP(D763, productos!$A$2:$A$150, productos!$D$2:$D$150, "No Encontrado", 0)</f>
        <v>3.51</v>
      </c>
      <c r="I763">
        <f t="shared" si="11"/>
        <v>14.04</v>
      </c>
    </row>
    <row r="764" spans="1:9" x14ac:dyDescent="0.25">
      <c r="A764">
        <v>2861</v>
      </c>
      <c r="B764" s="1">
        <v>45375</v>
      </c>
      <c r="C764">
        <v>147</v>
      </c>
      <c r="D764">
        <v>21</v>
      </c>
      <c r="E764">
        <v>5</v>
      </c>
      <c r="F764">
        <v>4</v>
      </c>
      <c r="G764" t="s">
        <v>1044</v>
      </c>
      <c r="H764">
        <f>_xlfn.XLOOKUP(D764, productos!$A$2:$A$150, productos!$D$2:$D$150, "No Encontrado", 0)</f>
        <v>3.25</v>
      </c>
      <c r="I764">
        <f t="shared" si="11"/>
        <v>16.25</v>
      </c>
    </row>
    <row r="765" spans="1:9" x14ac:dyDescent="0.25">
      <c r="A765">
        <v>378</v>
      </c>
      <c r="B765" s="1">
        <v>45376</v>
      </c>
      <c r="C765">
        <v>199</v>
      </c>
      <c r="D765">
        <v>25</v>
      </c>
      <c r="E765">
        <v>1</v>
      </c>
      <c r="F765">
        <v>4</v>
      </c>
      <c r="G765" t="s">
        <v>1044</v>
      </c>
      <c r="H765">
        <f>_xlfn.XLOOKUP(D765, productos!$A$2:$A$150, productos!$D$2:$D$150, "No Encontrado", 0)</f>
        <v>15.45</v>
      </c>
      <c r="I765">
        <f t="shared" si="11"/>
        <v>15.45</v>
      </c>
    </row>
    <row r="766" spans="1:9" x14ac:dyDescent="0.25">
      <c r="A766">
        <v>1139</v>
      </c>
      <c r="B766" s="1">
        <v>45376</v>
      </c>
      <c r="C766">
        <v>8</v>
      </c>
      <c r="D766">
        <v>36</v>
      </c>
      <c r="E766">
        <v>5</v>
      </c>
      <c r="F766">
        <v>1</v>
      </c>
      <c r="G766" t="s">
        <v>1044</v>
      </c>
      <c r="H766">
        <f>_xlfn.XLOOKUP(D766, productos!$A$2:$A$150, productos!$D$2:$D$150, "No Encontrado", 0)</f>
        <v>3.25</v>
      </c>
      <c r="I766">
        <f t="shared" si="11"/>
        <v>16.25</v>
      </c>
    </row>
    <row r="767" spans="1:9" x14ac:dyDescent="0.25">
      <c r="A767">
        <v>1399</v>
      </c>
      <c r="B767" s="1">
        <v>45376</v>
      </c>
      <c r="C767">
        <v>90</v>
      </c>
      <c r="D767">
        <v>27</v>
      </c>
      <c r="E767">
        <v>2</v>
      </c>
      <c r="F767">
        <v>3</v>
      </c>
      <c r="G767" t="s">
        <v>1044</v>
      </c>
      <c r="H767">
        <f>_xlfn.XLOOKUP(D767, productos!$A$2:$A$150, productos!$D$2:$D$150, "No Encontrado", 0)</f>
        <v>6.21</v>
      </c>
      <c r="I767">
        <f t="shared" si="11"/>
        <v>12.42</v>
      </c>
    </row>
    <row r="768" spans="1:9" x14ac:dyDescent="0.25">
      <c r="A768">
        <v>1710</v>
      </c>
      <c r="B768" s="1">
        <v>45376</v>
      </c>
      <c r="C768">
        <v>131</v>
      </c>
      <c r="D768">
        <v>27</v>
      </c>
      <c r="E768">
        <v>1</v>
      </c>
      <c r="F768">
        <v>3</v>
      </c>
      <c r="G768" t="s">
        <v>1044</v>
      </c>
      <c r="H768">
        <f>_xlfn.XLOOKUP(D768, productos!$A$2:$A$150, productos!$D$2:$D$150, "No Encontrado", 0)</f>
        <v>6.21</v>
      </c>
      <c r="I768">
        <f t="shared" si="11"/>
        <v>6.21</v>
      </c>
    </row>
    <row r="769" spans="1:9" x14ac:dyDescent="0.25">
      <c r="A769">
        <v>1866</v>
      </c>
      <c r="B769" s="1">
        <v>45376</v>
      </c>
      <c r="C769">
        <v>272</v>
      </c>
      <c r="D769">
        <v>5</v>
      </c>
      <c r="E769">
        <v>5</v>
      </c>
      <c r="F769">
        <v>1</v>
      </c>
      <c r="G769" t="s">
        <v>1044</v>
      </c>
      <c r="H769">
        <f>_xlfn.XLOOKUP(D769, productos!$A$2:$A$150, productos!$D$2:$D$150, "No Encontrado", 0)</f>
        <v>5.65</v>
      </c>
      <c r="I769">
        <f t="shared" si="11"/>
        <v>28.25</v>
      </c>
    </row>
    <row r="770" spans="1:9" x14ac:dyDescent="0.25">
      <c r="A770">
        <v>2164</v>
      </c>
      <c r="B770" s="1">
        <v>45376</v>
      </c>
      <c r="C770">
        <v>292</v>
      </c>
      <c r="D770">
        <v>36</v>
      </c>
      <c r="E770">
        <v>5</v>
      </c>
      <c r="F770">
        <v>5</v>
      </c>
      <c r="G770" t="s">
        <v>1044</v>
      </c>
      <c r="H770">
        <f>_xlfn.XLOOKUP(D770, productos!$A$2:$A$150, productos!$D$2:$D$150, "No Encontrado", 0)</f>
        <v>3.25</v>
      </c>
      <c r="I770">
        <f t="shared" si="11"/>
        <v>16.25</v>
      </c>
    </row>
    <row r="771" spans="1:9" x14ac:dyDescent="0.25">
      <c r="A771">
        <v>2854</v>
      </c>
      <c r="B771" s="1">
        <v>45376</v>
      </c>
      <c r="C771">
        <v>208</v>
      </c>
      <c r="D771">
        <v>33</v>
      </c>
      <c r="E771">
        <v>2</v>
      </c>
      <c r="F771">
        <v>5</v>
      </c>
      <c r="G771" t="s">
        <v>1045</v>
      </c>
      <c r="H771">
        <f>_xlfn.XLOOKUP(D771, productos!$A$2:$A$150, productos!$D$2:$D$150, "No Encontrado", 0)</f>
        <v>8.5399999999999991</v>
      </c>
      <c r="I771">
        <f t="shared" ref="I771:I834" si="12">E771*H771</f>
        <v>17.079999999999998</v>
      </c>
    </row>
    <row r="772" spans="1:9" x14ac:dyDescent="0.25">
      <c r="A772">
        <v>2993</v>
      </c>
      <c r="B772" s="1">
        <v>45376</v>
      </c>
      <c r="C772">
        <v>117</v>
      </c>
      <c r="D772">
        <v>4</v>
      </c>
      <c r="E772">
        <v>2</v>
      </c>
      <c r="F772">
        <v>1</v>
      </c>
      <c r="G772" t="s">
        <v>1044</v>
      </c>
      <c r="H772">
        <f>_xlfn.XLOOKUP(D772, productos!$A$2:$A$150, productos!$D$2:$D$150, "No Encontrado", 0)</f>
        <v>19.23</v>
      </c>
      <c r="I772">
        <f t="shared" si="12"/>
        <v>38.46</v>
      </c>
    </row>
    <row r="773" spans="1:9" x14ac:dyDescent="0.25">
      <c r="A773">
        <v>464</v>
      </c>
      <c r="B773" s="1">
        <v>45377</v>
      </c>
      <c r="C773">
        <v>323</v>
      </c>
      <c r="D773">
        <v>5</v>
      </c>
      <c r="E773">
        <v>4</v>
      </c>
      <c r="F773">
        <v>4</v>
      </c>
      <c r="G773" t="s">
        <v>1044</v>
      </c>
      <c r="H773">
        <f>_xlfn.XLOOKUP(D773, productos!$A$2:$A$150, productos!$D$2:$D$150, "No Encontrado", 0)</f>
        <v>5.65</v>
      </c>
      <c r="I773">
        <f t="shared" si="12"/>
        <v>22.6</v>
      </c>
    </row>
    <row r="774" spans="1:9" x14ac:dyDescent="0.25">
      <c r="A774">
        <v>469</v>
      </c>
      <c r="B774" s="1">
        <v>45377</v>
      </c>
      <c r="C774">
        <v>134</v>
      </c>
      <c r="D774">
        <v>17</v>
      </c>
      <c r="E774">
        <v>4</v>
      </c>
      <c r="F774">
        <v>4</v>
      </c>
      <c r="G774" t="s">
        <v>1044</v>
      </c>
      <c r="H774">
        <f>_xlfn.XLOOKUP(D774, productos!$A$2:$A$150, productos!$D$2:$D$150, "No Encontrado", 0)</f>
        <v>6.54</v>
      </c>
      <c r="I774">
        <f t="shared" si="12"/>
        <v>26.16</v>
      </c>
    </row>
    <row r="775" spans="1:9" x14ac:dyDescent="0.25">
      <c r="A775">
        <v>1025</v>
      </c>
      <c r="B775" s="1">
        <v>45377</v>
      </c>
      <c r="C775">
        <v>288</v>
      </c>
      <c r="D775">
        <v>15</v>
      </c>
      <c r="E775">
        <v>3</v>
      </c>
      <c r="F775">
        <v>5</v>
      </c>
      <c r="G775" t="s">
        <v>1045</v>
      </c>
      <c r="H775">
        <f>_xlfn.XLOOKUP(D775, productos!$A$2:$A$150, productos!$D$2:$D$150, "No Encontrado", 0)</f>
        <v>3.51</v>
      </c>
      <c r="I775">
        <f t="shared" si="12"/>
        <v>10.53</v>
      </c>
    </row>
    <row r="776" spans="1:9" x14ac:dyDescent="0.25">
      <c r="A776">
        <v>1125</v>
      </c>
      <c r="B776" s="1">
        <v>45377</v>
      </c>
      <c r="C776">
        <v>9</v>
      </c>
      <c r="D776">
        <v>26</v>
      </c>
      <c r="E776">
        <v>5</v>
      </c>
      <c r="F776">
        <v>4</v>
      </c>
      <c r="G776" t="s">
        <v>1045</v>
      </c>
      <c r="H776">
        <f>_xlfn.XLOOKUP(D776, productos!$A$2:$A$150, productos!$D$2:$D$150, "No Encontrado", 0)</f>
        <v>9.5399999999999991</v>
      </c>
      <c r="I776">
        <f t="shared" si="12"/>
        <v>47.699999999999996</v>
      </c>
    </row>
    <row r="777" spans="1:9" x14ac:dyDescent="0.25">
      <c r="A777">
        <v>1321</v>
      </c>
      <c r="B777" s="1">
        <v>45377</v>
      </c>
      <c r="C777">
        <v>94</v>
      </c>
      <c r="D777">
        <v>6</v>
      </c>
      <c r="E777">
        <v>4</v>
      </c>
      <c r="F777">
        <v>1</v>
      </c>
      <c r="G777" t="s">
        <v>1044</v>
      </c>
      <c r="H777">
        <f>_xlfn.XLOOKUP(D777, productos!$A$2:$A$150, productos!$D$2:$D$150, "No Encontrado", 0)</f>
        <v>28.56</v>
      </c>
      <c r="I777">
        <f t="shared" si="12"/>
        <v>114.24</v>
      </c>
    </row>
    <row r="778" spans="1:9" x14ac:dyDescent="0.25">
      <c r="A778">
        <v>1556</v>
      </c>
      <c r="B778" s="1">
        <v>45377</v>
      </c>
      <c r="C778">
        <v>65</v>
      </c>
      <c r="D778">
        <v>8</v>
      </c>
      <c r="E778">
        <v>2</v>
      </c>
      <c r="F778">
        <v>1</v>
      </c>
      <c r="G778" t="s">
        <v>1044</v>
      </c>
      <c r="H778">
        <f>_xlfn.XLOOKUP(D778, productos!$A$2:$A$150, productos!$D$2:$D$150, "No Encontrado", 0)</f>
        <v>16.21</v>
      </c>
      <c r="I778">
        <f t="shared" si="12"/>
        <v>32.42</v>
      </c>
    </row>
    <row r="779" spans="1:9" x14ac:dyDescent="0.25">
      <c r="A779">
        <v>1667</v>
      </c>
      <c r="B779" s="1">
        <v>45377</v>
      </c>
      <c r="C779">
        <v>81</v>
      </c>
      <c r="D779">
        <v>24</v>
      </c>
      <c r="E779">
        <v>6</v>
      </c>
      <c r="F779">
        <v>3</v>
      </c>
      <c r="G779" t="s">
        <v>1044</v>
      </c>
      <c r="H779">
        <f>_xlfn.XLOOKUP(D779, productos!$A$2:$A$150, productos!$D$2:$D$150, "No Encontrado", 0)</f>
        <v>13.54</v>
      </c>
      <c r="I779">
        <f t="shared" si="12"/>
        <v>81.239999999999995</v>
      </c>
    </row>
    <row r="780" spans="1:9" x14ac:dyDescent="0.25">
      <c r="A780">
        <v>2182</v>
      </c>
      <c r="B780" s="1">
        <v>45377</v>
      </c>
      <c r="C780">
        <v>116</v>
      </c>
      <c r="D780">
        <v>2</v>
      </c>
      <c r="E780">
        <v>6</v>
      </c>
      <c r="F780">
        <v>2</v>
      </c>
      <c r="G780" t="s">
        <v>1044</v>
      </c>
      <c r="H780">
        <f>_xlfn.XLOOKUP(D780, productos!$A$2:$A$150, productos!$D$2:$D$150, "No Encontrado", 0)</f>
        <v>5.21</v>
      </c>
      <c r="I780">
        <f t="shared" si="12"/>
        <v>31.259999999999998</v>
      </c>
    </row>
    <row r="781" spans="1:9" x14ac:dyDescent="0.25">
      <c r="A781">
        <v>2570</v>
      </c>
      <c r="B781" s="1">
        <v>45377</v>
      </c>
      <c r="C781">
        <v>17</v>
      </c>
      <c r="D781">
        <v>7</v>
      </c>
      <c r="E781">
        <v>6</v>
      </c>
      <c r="F781">
        <v>5</v>
      </c>
      <c r="G781" t="s">
        <v>1044</v>
      </c>
      <c r="H781">
        <f>_xlfn.XLOOKUP(D781, productos!$A$2:$A$150, productos!$D$2:$D$150, "No Encontrado", 0)</f>
        <v>11.25</v>
      </c>
      <c r="I781">
        <f t="shared" si="12"/>
        <v>67.5</v>
      </c>
    </row>
    <row r="782" spans="1:9" x14ac:dyDescent="0.25">
      <c r="A782">
        <v>2623</v>
      </c>
      <c r="B782" s="1">
        <v>45377</v>
      </c>
      <c r="C782">
        <v>237</v>
      </c>
      <c r="D782">
        <v>3</v>
      </c>
      <c r="E782">
        <v>5</v>
      </c>
      <c r="F782">
        <v>4</v>
      </c>
      <c r="G782" t="s">
        <v>1044</v>
      </c>
      <c r="H782">
        <f>_xlfn.XLOOKUP(D782, productos!$A$2:$A$150, productos!$D$2:$D$150, "No Encontrado", 0)</f>
        <v>17.23</v>
      </c>
      <c r="I782">
        <f t="shared" si="12"/>
        <v>86.15</v>
      </c>
    </row>
    <row r="783" spans="1:9" x14ac:dyDescent="0.25">
      <c r="A783">
        <v>2683</v>
      </c>
      <c r="B783" s="1">
        <v>45377</v>
      </c>
      <c r="C783">
        <v>14</v>
      </c>
      <c r="D783">
        <v>28</v>
      </c>
      <c r="E783">
        <v>1</v>
      </c>
      <c r="F783">
        <v>2</v>
      </c>
      <c r="G783" t="s">
        <v>1044</v>
      </c>
      <c r="H783">
        <f>_xlfn.XLOOKUP(D783, productos!$A$2:$A$150, productos!$D$2:$D$150, "No Encontrado", 0)</f>
        <v>9.4499999999999993</v>
      </c>
      <c r="I783">
        <f t="shared" si="12"/>
        <v>9.4499999999999993</v>
      </c>
    </row>
    <row r="784" spans="1:9" x14ac:dyDescent="0.25">
      <c r="A784">
        <v>559</v>
      </c>
      <c r="B784" s="1">
        <v>45378</v>
      </c>
      <c r="C784">
        <v>97</v>
      </c>
      <c r="D784">
        <v>24</v>
      </c>
      <c r="E784">
        <v>5</v>
      </c>
      <c r="F784">
        <v>2</v>
      </c>
      <c r="G784" t="s">
        <v>1044</v>
      </c>
      <c r="H784">
        <f>_xlfn.XLOOKUP(D784, productos!$A$2:$A$150, productos!$D$2:$D$150, "No Encontrado", 0)</f>
        <v>13.54</v>
      </c>
      <c r="I784">
        <f t="shared" si="12"/>
        <v>67.699999999999989</v>
      </c>
    </row>
    <row r="785" spans="1:9" x14ac:dyDescent="0.25">
      <c r="A785">
        <v>737</v>
      </c>
      <c r="B785" s="1">
        <v>45378</v>
      </c>
      <c r="C785">
        <v>48</v>
      </c>
      <c r="D785">
        <v>30</v>
      </c>
      <c r="E785">
        <v>1</v>
      </c>
      <c r="F785">
        <v>5</v>
      </c>
      <c r="G785" t="s">
        <v>1044</v>
      </c>
      <c r="H785">
        <f>_xlfn.XLOOKUP(D785, productos!$A$2:$A$150, productos!$D$2:$D$150, "No Encontrado", 0)</f>
        <v>13.54</v>
      </c>
      <c r="I785">
        <f t="shared" si="12"/>
        <v>13.54</v>
      </c>
    </row>
    <row r="786" spans="1:9" x14ac:dyDescent="0.25">
      <c r="A786">
        <v>1278</v>
      </c>
      <c r="B786" s="1">
        <v>45378</v>
      </c>
      <c r="C786">
        <v>11</v>
      </c>
      <c r="D786">
        <v>29</v>
      </c>
      <c r="E786">
        <v>5</v>
      </c>
      <c r="F786">
        <v>4</v>
      </c>
      <c r="G786" t="s">
        <v>1045</v>
      </c>
      <c r="H786">
        <f>_xlfn.XLOOKUP(D786, productos!$A$2:$A$150, productos!$D$2:$D$150, "No Encontrado", 0)</f>
        <v>11.54</v>
      </c>
      <c r="I786">
        <f t="shared" si="12"/>
        <v>57.699999999999996</v>
      </c>
    </row>
    <row r="787" spans="1:9" x14ac:dyDescent="0.25">
      <c r="A787">
        <v>1312</v>
      </c>
      <c r="B787" s="1">
        <v>45378</v>
      </c>
      <c r="C787">
        <v>215</v>
      </c>
      <c r="D787">
        <v>35</v>
      </c>
      <c r="E787">
        <v>5</v>
      </c>
      <c r="F787">
        <v>3</v>
      </c>
      <c r="G787" t="s">
        <v>1044</v>
      </c>
      <c r="H787">
        <f>_xlfn.XLOOKUP(D787, productos!$A$2:$A$150, productos!$D$2:$D$150, "No Encontrado", 0)</f>
        <v>4.25</v>
      </c>
      <c r="I787">
        <f t="shared" si="12"/>
        <v>21.25</v>
      </c>
    </row>
    <row r="788" spans="1:9" x14ac:dyDescent="0.25">
      <c r="A788">
        <v>1627</v>
      </c>
      <c r="B788" s="1">
        <v>45378</v>
      </c>
      <c r="C788">
        <v>323</v>
      </c>
      <c r="D788">
        <v>13</v>
      </c>
      <c r="E788">
        <v>1</v>
      </c>
      <c r="F788">
        <v>5</v>
      </c>
      <c r="G788" t="s">
        <v>1044</v>
      </c>
      <c r="H788">
        <f>_xlfn.XLOOKUP(D788, productos!$A$2:$A$150, productos!$D$2:$D$150, "No Encontrado", 0)</f>
        <v>12.56</v>
      </c>
      <c r="I788">
        <f t="shared" si="12"/>
        <v>12.56</v>
      </c>
    </row>
    <row r="789" spans="1:9" x14ac:dyDescent="0.25">
      <c r="A789">
        <v>1666</v>
      </c>
      <c r="B789" s="1">
        <v>45378</v>
      </c>
      <c r="C789">
        <v>56</v>
      </c>
      <c r="D789">
        <v>25</v>
      </c>
      <c r="E789">
        <v>1</v>
      </c>
      <c r="F789">
        <v>3</v>
      </c>
      <c r="G789" t="s">
        <v>1044</v>
      </c>
      <c r="H789">
        <f>_xlfn.XLOOKUP(D789, productos!$A$2:$A$150, productos!$D$2:$D$150, "No Encontrado", 0)</f>
        <v>15.45</v>
      </c>
      <c r="I789">
        <f t="shared" si="12"/>
        <v>15.45</v>
      </c>
    </row>
    <row r="790" spans="1:9" x14ac:dyDescent="0.25">
      <c r="A790">
        <v>1679</v>
      </c>
      <c r="B790" s="1">
        <v>45378</v>
      </c>
      <c r="C790">
        <v>273</v>
      </c>
      <c r="D790">
        <v>38</v>
      </c>
      <c r="E790">
        <v>4</v>
      </c>
      <c r="F790">
        <v>3</v>
      </c>
      <c r="G790" t="s">
        <v>1044</v>
      </c>
      <c r="H790">
        <f>_xlfn.XLOOKUP(D790, productos!$A$2:$A$150, productos!$D$2:$D$150, "No Encontrado", 0)</f>
        <v>6.21</v>
      </c>
      <c r="I790">
        <f t="shared" si="12"/>
        <v>24.84</v>
      </c>
    </row>
    <row r="791" spans="1:9" x14ac:dyDescent="0.25">
      <c r="A791">
        <v>2048</v>
      </c>
      <c r="B791" s="1">
        <v>45378</v>
      </c>
      <c r="C791">
        <v>261</v>
      </c>
      <c r="D791">
        <v>25</v>
      </c>
      <c r="E791">
        <v>3</v>
      </c>
      <c r="F791">
        <v>4</v>
      </c>
      <c r="G791" t="s">
        <v>1044</v>
      </c>
      <c r="H791">
        <f>_xlfn.XLOOKUP(D791, productos!$A$2:$A$150, productos!$D$2:$D$150, "No Encontrado", 0)</f>
        <v>15.45</v>
      </c>
      <c r="I791">
        <f t="shared" si="12"/>
        <v>46.349999999999994</v>
      </c>
    </row>
    <row r="792" spans="1:9" x14ac:dyDescent="0.25">
      <c r="A792">
        <v>2225</v>
      </c>
      <c r="B792" s="1">
        <v>45378</v>
      </c>
      <c r="C792">
        <v>269</v>
      </c>
      <c r="D792">
        <v>34</v>
      </c>
      <c r="E792">
        <v>1</v>
      </c>
      <c r="F792">
        <v>4</v>
      </c>
      <c r="G792" t="s">
        <v>1044</v>
      </c>
      <c r="H792">
        <f>_xlfn.XLOOKUP(D792, productos!$A$2:$A$150, productos!$D$2:$D$150, "No Encontrado", 0)</f>
        <v>5.45</v>
      </c>
      <c r="I792">
        <f t="shared" si="12"/>
        <v>5.45</v>
      </c>
    </row>
    <row r="793" spans="1:9" x14ac:dyDescent="0.25">
      <c r="A793">
        <v>2630</v>
      </c>
      <c r="B793" s="1">
        <v>45378</v>
      </c>
      <c r="C793">
        <v>223</v>
      </c>
      <c r="D793">
        <v>19</v>
      </c>
      <c r="E793">
        <v>5</v>
      </c>
      <c r="F793">
        <v>3</v>
      </c>
      <c r="G793" t="s">
        <v>1044</v>
      </c>
      <c r="H793">
        <f>_xlfn.XLOOKUP(D793, productos!$A$2:$A$150, productos!$D$2:$D$150, "No Encontrado", 0)</f>
        <v>6.54</v>
      </c>
      <c r="I793">
        <f t="shared" si="12"/>
        <v>32.700000000000003</v>
      </c>
    </row>
    <row r="794" spans="1:9" x14ac:dyDescent="0.25">
      <c r="A794">
        <v>988</v>
      </c>
      <c r="B794" s="1">
        <v>45379</v>
      </c>
      <c r="C794">
        <v>266</v>
      </c>
      <c r="D794">
        <v>21</v>
      </c>
      <c r="E794">
        <v>5</v>
      </c>
      <c r="F794">
        <v>2</v>
      </c>
      <c r="G794" t="s">
        <v>1044</v>
      </c>
      <c r="H794">
        <f>_xlfn.XLOOKUP(D794, productos!$A$2:$A$150, productos!$D$2:$D$150, "No Encontrado", 0)</f>
        <v>3.25</v>
      </c>
      <c r="I794">
        <f t="shared" si="12"/>
        <v>16.25</v>
      </c>
    </row>
    <row r="795" spans="1:9" x14ac:dyDescent="0.25">
      <c r="A795">
        <v>1086</v>
      </c>
      <c r="B795" s="1">
        <v>45379</v>
      </c>
      <c r="C795">
        <v>40</v>
      </c>
      <c r="D795">
        <v>22</v>
      </c>
      <c r="E795">
        <v>6</v>
      </c>
      <c r="F795">
        <v>5</v>
      </c>
      <c r="G795" t="s">
        <v>1044</v>
      </c>
      <c r="H795">
        <f>_xlfn.XLOOKUP(D795, productos!$A$2:$A$150, productos!$D$2:$D$150, "No Encontrado", 0)</f>
        <v>4.21</v>
      </c>
      <c r="I795">
        <f t="shared" si="12"/>
        <v>25.259999999999998</v>
      </c>
    </row>
    <row r="796" spans="1:9" x14ac:dyDescent="0.25">
      <c r="A796">
        <v>1153</v>
      </c>
      <c r="B796" s="1">
        <v>45379</v>
      </c>
      <c r="C796">
        <v>130</v>
      </c>
      <c r="D796">
        <v>27</v>
      </c>
      <c r="E796">
        <v>6</v>
      </c>
      <c r="F796">
        <v>3</v>
      </c>
      <c r="G796" t="s">
        <v>1044</v>
      </c>
      <c r="H796">
        <f>_xlfn.XLOOKUP(D796, productos!$A$2:$A$150, productos!$D$2:$D$150, "No Encontrado", 0)</f>
        <v>6.21</v>
      </c>
      <c r="I796">
        <f t="shared" si="12"/>
        <v>37.26</v>
      </c>
    </row>
    <row r="797" spans="1:9" x14ac:dyDescent="0.25">
      <c r="A797">
        <v>2507</v>
      </c>
      <c r="B797" s="1">
        <v>45379</v>
      </c>
      <c r="C797">
        <v>243</v>
      </c>
      <c r="D797">
        <v>33</v>
      </c>
      <c r="E797">
        <v>3</v>
      </c>
      <c r="F797">
        <v>4</v>
      </c>
      <c r="G797" t="s">
        <v>1044</v>
      </c>
      <c r="H797">
        <f>_xlfn.XLOOKUP(D797, productos!$A$2:$A$150, productos!$D$2:$D$150, "No Encontrado", 0)</f>
        <v>8.5399999999999991</v>
      </c>
      <c r="I797">
        <f t="shared" si="12"/>
        <v>25.619999999999997</v>
      </c>
    </row>
    <row r="798" spans="1:9" x14ac:dyDescent="0.25">
      <c r="A798">
        <v>468</v>
      </c>
      <c r="B798" s="1">
        <v>45380</v>
      </c>
      <c r="C798">
        <v>45</v>
      </c>
      <c r="D798">
        <v>17</v>
      </c>
      <c r="E798">
        <v>5</v>
      </c>
      <c r="F798">
        <v>1</v>
      </c>
      <c r="G798" t="s">
        <v>1044</v>
      </c>
      <c r="H798">
        <f>_xlfn.XLOOKUP(D798, productos!$A$2:$A$150, productos!$D$2:$D$150, "No Encontrado", 0)</f>
        <v>6.54</v>
      </c>
      <c r="I798">
        <f t="shared" si="12"/>
        <v>32.700000000000003</v>
      </c>
    </row>
    <row r="799" spans="1:9" x14ac:dyDescent="0.25">
      <c r="A799">
        <v>511</v>
      </c>
      <c r="B799" s="1">
        <v>45380</v>
      </c>
      <c r="C799">
        <v>98</v>
      </c>
      <c r="D799">
        <v>31</v>
      </c>
      <c r="E799">
        <v>6</v>
      </c>
      <c r="F799">
        <v>3</v>
      </c>
      <c r="G799" t="s">
        <v>1044</v>
      </c>
      <c r="H799">
        <f>_xlfn.XLOOKUP(D799, productos!$A$2:$A$150, productos!$D$2:$D$150, "No Encontrado", 0)</f>
        <v>5.24</v>
      </c>
      <c r="I799">
        <f t="shared" si="12"/>
        <v>31.44</v>
      </c>
    </row>
    <row r="800" spans="1:9" x14ac:dyDescent="0.25">
      <c r="A800">
        <v>1129</v>
      </c>
      <c r="B800" s="1">
        <v>45380</v>
      </c>
      <c r="C800">
        <v>275</v>
      </c>
      <c r="D800">
        <v>36</v>
      </c>
      <c r="E800">
        <v>4</v>
      </c>
      <c r="F800">
        <v>4</v>
      </c>
      <c r="G800" t="s">
        <v>1045</v>
      </c>
      <c r="H800">
        <f>_xlfn.XLOOKUP(D800, productos!$A$2:$A$150, productos!$D$2:$D$150, "No Encontrado", 0)</f>
        <v>3.25</v>
      </c>
      <c r="I800">
        <f t="shared" si="12"/>
        <v>13</v>
      </c>
    </row>
    <row r="801" spans="1:9" x14ac:dyDescent="0.25">
      <c r="A801">
        <v>1169</v>
      </c>
      <c r="B801" s="1">
        <v>45380</v>
      </c>
      <c r="C801">
        <v>8</v>
      </c>
      <c r="D801">
        <v>28</v>
      </c>
      <c r="E801">
        <v>5</v>
      </c>
      <c r="F801">
        <v>4</v>
      </c>
      <c r="G801" t="s">
        <v>1044</v>
      </c>
      <c r="H801">
        <f>_xlfn.XLOOKUP(D801, productos!$A$2:$A$150, productos!$D$2:$D$150, "No Encontrado", 0)</f>
        <v>9.4499999999999993</v>
      </c>
      <c r="I801">
        <f t="shared" si="12"/>
        <v>47.25</v>
      </c>
    </row>
    <row r="802" spans="1:9" x14ac:dyDescent="0.25">
      <c r="A802">
        <v>1409</v>
      </c>
      <c r="B802" s="1">
        <v>45380</v>
      </c>
      <c r="C802">
        <v>86</v>
      </c>
      <c r="D802">
        <v>14</v>
      </c>
      <c r="E802">
        <v>6</v>
      </c>
      <c r="F802">
        <v>4</v>
      </c>
      <c r="G802" t="s">
        <v>1044</v>
      </c>
      <c r="H802">
        <f>_xlfn.XLOOKUP(D802, productos!$A$2:$A$150, productos!$D$2:$D$150, "No Encontrado", 0)</f>
        <v>12.36</v>
      </c>
      <c r="I802">
        <f t="shared" si="12"/>
        <v>74.16</v>
      </c>
    </row>
    <row r="803" spans="1:9" x14ac:dyDescent="0.25">
      <c r="A803">
        <v>1828</v>
      </c>
      <c r="B803" s="1">
        <v>45380</v>
      </c>
      <c r="C803">
        <v>52</v>
      </c>
      <c r="D803">
        <v>14</v>
      </c>
      <c r="E803">
        <v>2</v>
      </c>
      <c r="F803">
        <v>2</v>
      </c>
      <c r="G803" t="s">
        <v>1044</v>
      </c>
      <c r="H803">
        <f>_xlfn.XLOOKUP(D803, productos!$A$2:$A$150, productos!$D$2:$D$150, "No Encontrado", 0)</f>
        <v>12.36</v>
      </c>
      <c r="I803">
        <f t="shared" si="12"/>
        <v>24.72</v>
      </c>
    </row>
    <row r="804" spans="1:9" x14ac:dyDescent="0.25">
      <c r="A804">
        <v>2142</v>
      </c>
      <c r="B804" s="1">
        <v>45380</v>
      </c>
      <c r="C804">
        <v>165</v>
      </c>
      <c r="D804">
        <v>23</v>
      </c>
      <c r="E804">
        <v>2</v>
      </c>
      <c r="F804">
        <v>1</v>
      </c>
      <c r="G804" t="s">
        <v>1045</v>
      </c>
      <c r="H804">
        <f>_xlfn.XLOOKUP(D804, productos!$A$2:$A$150, productos!$D$2:$D$150, "No Encontrado", 0)</f>
        <v>8.23</v>
      </c>
      <c r="I804">
        <f t="shared" si="12"/>
        <v>16.46</v>
      </c>
    </row>
    <row r="805" spans="1:9" x14ac:dyDescent="0.25">
      <c r="A805">
        <v>432</v>
      </c>
      <c r="B805" s="1">
        <v>45381</v>
      </c>
      <c r="C805">
        <v>197</v>
      </c>
      <c r="D805">
        <v>25</v>
      </c>
      <c r="E805">
        <v>5</v>
      </c>
      <c r="F805">
        <v>3</v>
      </c>
      <c r="G805" t="s">
        <v>1044</v>
      </c>
      <c r="H805">
        <f>_xlfn.XLOOKUP(D805, productos!$A$2:$A$150, productos!$D$2:$D$150, "No Encontrado", 0)</f>
        <v>15.45</v>
      </c>
      <c r="I805">
        <f t="shared" si="12"/>
        <v>77.25</v>
      </c>
    </row>
    <row r="806" spans="1:9" x14ac:dyDescent="0.25">
      <c r="A806">
        <v>1624</v>
      </c>
      <c r="B806" s="1">
        <v>45381</v>
      </c>
      <c r="C806">
        <v>71</v>
      </c>
      <c r="D806">
        <v>1</v>
      </c>
      <c r="E806">
        <v>2</v>
      </c>
      <c r="F806">
        <v>5</v>
      </c>
      <c r="G806" t="s">
        <v>1044</v>
      </c>
      <c r="H806">
        <f>_xlfn.XLOOKUP(D806, productos!$A$2:$A$150, productos!$D$2:$D$150, "No Encontrado", 0)</f>
        <v>12.24</v>
      </c>
      <c r="I806">
        <f t="shared" si="12"/>
        <v>24.48</v>
      </c>
    </row>
    <row r="807" spans="1:9" x14ac:dyDescent="0.25">
      <c r="A807">
        <v>2580</v>
      </c>
      <c r="B807" s="1">
        <v>45381</v>
      </c>
      <c r="C807">
        <v>287</v>
      </c>
      <c r="D807">
        <v>22</v>
      </c>
      <c r="E807">
        <v>4</v>
      </c>
      <c r="F807">
        <v>3</v>
      </c>
      <c r="G807" t="s">
        <v>1045</v>
      </c>
      <c r="H807">
        <f>_xlfn.XLOOKUP(D807, productos!$A$2:$A$150, productos!$D$2:$D$150, "No Encontrado", 0)</f>
        <v>4.21</v>
      </c>
      <c r="I807">
        <f t="shared" si="12"/>
        <v>16.84</v>
      </c>
    </row>
    <row r="808" spans="1:9" x14ac:dyDescent="0.25">
      <c r="A808">
        <v>2863</v>
      </c>
      <c r="B808" s="1">
        <v>45381</v>
      </c>
      <c r="C808">
        <v>194</v>
      </c>
      <c r="D808">
        <v>1</v>
      </c>
      <c r="E808">
        <v>5</v>
      </c>
      <c r="F808">
        <v>5</v>
      </c>
      <c r="G808" t="s">
        <v>1044</v>
      </c>
      <c r="H808">
        <f>_xlfn.XLOOKUP(D808, productos!$A$2:$A$150, productos!$D$2:$D$150, "No Encontrado", 0)</f>
        <v>12.24</v>
      </c>
      <c r="I808">
        <f t="shared" si="12"/>
        <v>61.2</v>
      </c>
    </row>
    <row r="809" spans="1:9" x14ac:dyDescent="0.25">
      <c r="A809">
        <v>2891</v>
      </c>
      <c r="B809" s="1">
        <v>45381</v>
      </c>
      <c r="C809">
        <v>76</v>
      </c>
      <c r="D809">
        <v>7</v>
      </c>
      <c r="E809">
        <v>1</v>
      </c>
      <c r="F809">
        <v>4</v>
      </c>
      <c r="G809" t="s">
        <v>1044</v>
      </c>
      <c r="H809">
        <f>_xlfn.XLOOKUP(D809, productos!$A$2:$A$150, productos!$D$2:$D$150, "No Encontrado", 0)</f>
        <v>11.25</v>
      </c>
      <c r="I809">
        <f t="shared" si="12"/>
        <v>11.25</v>
      </c>
    </row>
    <row r="810" spans="1:9" x14ac:dyDescent="0.25">
      <c r="A810">
        <v>433</v>
      </c>
      <c r="B810" s="1">
        <v>45382</v>
      </c>
      <c r="C810">
        <v>218</v>
      </c>
      <c r="D810">
        <v>29</v>
      </c>
      <c r="E810">
        <v>6</v>
      </c>
      <c r="F810">
        <v>5</v>
      </c>
      <c r="G810" t="s">
        <v>1044</v>
      </c>
      <c r="H810">
        <f>_xlfn.XLOOKUP(D810, productos!$A$2:$A$150, productos!$D$2:$D$150, "No Encontrado", 0)</f>
        <v>11.54</v>
      </c>
      <c r="I810">
        <f t="shared" si="12"/>
        <v>69.239999999999995</v>
      </c>
    </row>
    <row r="811" spans="1:9" x14ac:dyDescent="0.25">
      <c r="A811">
        <v>590</v>
      </c>
      <c r="B811" s="1">
        <v>45382</v>
      </c>
      <c r="C811">
        <v>194</v>
      </c>
      <c r="D811">
        <v>13</v>
      </c>
      <c r="E811">
        <v>6</v>
      </c>
      <c r="F811">
        <v>1</v>
      </c>
      <c r="G811" t="s">
        <v>1044</v>
      </c>
      <c r="H811">
        <f>_xlfn.XLOOKUP(D811, productos!$A$2:$A$150, productos!$D$2:$D$150, "No Encontrado", 0)</f>
        <v>12.56</v>
      </c>
      <c r="I811">
        <f t="shared" si="12"/>
        <v>75.36</v>
      </c>
    </row>
    <row r="812" spans="1:9" x14ac:dyDescent="0.25">
      <c r="A812">
        <v>853</v>
      </c>
      <c r="B812" s="1">
        <v>45382</v>
      </c>
      <c r="C812">
        <v>176</v>
      </c>
      <c r="D812">
        <v>35</v>
      </c>
      <c r="E812">
        <v>2</v>
      </c>
      <c r="F812">
        <v>4</v>
      </c>
      <c r="G812" t="s">
        <v>1044</v>
      </c>
      <c r="H812">
        <f>_xlfn.XLOOKUP(D812, productos!$A$2:$A$150, productos!$D$2:$D$150, "No Encontrado", 0)</f>
        <v>4.25</v>
      </c>
      <c r="I812">
        <f t="shared" si="12"/>
        <v>8.5</v>
      </c>
    </row>
    <row r="813" spans="1:9" x14ac:dyDescent="0.25">
      <c r="A813">
        <v>1045</v>
      </c>
      <c r="B813" s="1">
        <v>45382</v>
      </c>
      <c r="C813">
        <v>258</v>
      </c>
      <c r="D813">
        <v>32</v>
      </c>
      <c r="E813">
        <v>3</v>
      </c>
      <c r="F813">
        <v>4</v>
      </c>
      <c r="G813" t="s">
        <v>1044</v>
      </c>
      <c r="H813">
        <f>_xlfn.XLOOKUP(D813, productos!$A$2:$A$150, productos!$D$2:$D$150, "No Encontrado", 0)</f>
        <v>6.25</v>
      </c>
      <c r="I813">
        <f t="shared" si="12"/>
        <v>18.75</v>
      </c>
    </row>
    <row r="814" spans="1:9" x14ac:dyDescent="0.25">
      <c r="A814">
        <v>1705</v>
      </c>
      <c r="B814" s="1">
        <v>45382</v>
      </c>
      <c r="C814">
        <v>321</v>
      </c>
      <c r="D814">
        <v>18</v>
      </c>
      <c r="E814">
        <v>4</v>
      </c>
      <c r="F814">
        <v>1</v>
      </c>
      <c r="G814" t="s">
        <v>1044</v>
      </c>
      <c r="H814">
        <f>_xlfn.XLOOKUP(D814, productos!$A$2:$A$150, productos!$D$2:$D$150, "No Encontrado", 0)</f>
        <v>7.25</v>
      </c>
      <c r="I814">
        <f t="shared" si="12"/>
        <v>29</v>
      </c>
    </row>
    <row r="815" spans="1:9" x14ac:dyDescent="0.25">
      <c r="A815">
        <v>1976</v>
      </c>
      <c r="B815" s="1">
        <v>45382</v>
      </c>
      <c r="C815">
        <v>299</v>
      </c>
      <c r="D815">
        <v>18</v>
      </c>
      <c r="E815">
        <v>6</v>
      </c>
      <c r="F815">
        <v>5</v>
      </c>
      <c r="G815" t="s">
        <v>1044</v>
      </c>
      <c r="H815">
        <f>_xlfn.XLOOKUP(D815, productos!$A$2:$A$150, productos!$D$2:$D$150, "No Encontrado", 0)</f>
        <v>7.25</v>
      </c>
      <c r="I815">
        <f t="shared" si="12"/>
        <v>43.5</v>
      </c>
    </row>
    <row r="816" spans="1:9" x14ac:dyDescent="0.25">
      <c r="A816">
        <v>2213</v>
      </c>
      <c r="B816" s="1">
        <v>45382</v>
      </c>
      <c r="C816">
        <v>230</v>
      </c>
      <c r="D816">
        <v>19</v>
      </c>
      <c r="E816">
        <v>4</v>
      </c>
      <c r="F816">
        <v>2</v>
      </c>
      <c r="G816" t="s">
        <v>1045</v>
      </c>
      <c r="H816">
        <f>_xlfn.XLOOKUP(D816, productos!$A$2:$A$150, productos!$D$2:$D$150, "No Encontrado", 0)</f>
        <v>6.54</v>
      </c>
      <c r="I816">
        <f t="shared" si="12"/>
        <v>26.16</v>
      </c>
    </row>
    <row r="817" spans="1:9" x14ac:dyDescent="0.25">
      <c r="A817">
        <v>2303</v>
      </c>
      <c r="B817" s="1">
        <v>45383</v>
      </c>
      <c r="C817">
        <v>314</v>
      </c>
      <c r="D817">
        <v>2</v>
      </c>
      <c r="E817">
        <v>1</v>
      </c>
      <c r="F817">
        <v>5</v>
      </c>
      <c r="G817" t="s">
        <v>1045</v>
      </c>
      <c r="H817">
        <f>_xlfn.XLOOKUP(D817, productos!$A$2:$A$150, productos!$D$2:$D$150, "No Encontrado", 0)</f>
        <v>5.21</v>
      </c>
      <c r="I817">
        <f t="shared" si="12"/>
        <v>5.21</v>
      </c>
    </row>
    <row r="818" spans="1:9" x14ac:dyDescent="0.25">
      <c r="A818">
        <v>2326</v>
      </c>
      <c r="B818" s="1">
        <v>45383</v>
      </c>
      <c r="C818">
        <v>201</v>
      </c>
      <c r="D818">
        <v>26</v>
      </c>
      <c r="E818">
        <v>3</v>
      </c>
      <c r="F818">
        <v>5</v>
      </c>
      <c r="G818" t="s">
        <v>1044</v>
      </c>
      <c r="H818">
        <f>_xlfn.XLOOKUP(D818, productos!$A$2:$A$150, productos!$D$2:$D$150, "No Encontrado", 0)</f>
        <v>9.5399999999999991</v>
      </c>
      <c r="I818">
        <f t="shared" si="12"/>
        <v>28.619999999999997</v>
      </c>
    </row>
    <row r="819" spans="1:9" x14ac:dyDescent="0.25">
      <c r="A819">
        <v>2385</v>
      </c>
      <c r="B819" s="1">
        <v>45383</v>
      </c>
      <c r="C819">
        <v>76</v>
      </c>
      <c r="D819">
        <v>12</v>
      </c>
      <c r="E819">
        <v>4</v>
      </c>
      <c r="F819">
        <v>3</v>
      </c>
      <c r="G819" t="s">
        <v>1044</v>
      </c>
      <c r="H819">
        <f>_xlfn.XLOOKUP(D819, productos!$A$2:$A$150, productos!$D$2:$D$150, "No Encontrado", 0)</f>
        <v>8.1199999999999992</v>
      </c>
      <c r="I819">
        <f t="shared" si="12"/>
        <v>32.479999999999997</v>
      </c>
    </row>
    <row r="820" spans="1:9" x14ac:dyDescent="0.25">
      <c r="A820">
        <v>2611</v>
      </c>
      <c r="B820" s="1">
        <v>45383</v>
      </c>
      <c r="C820">
        <v>63</v>
      </c>
      <c r="D820">
        <v>1</v>
      </c>
      <c r="E820">
        <v>4</v>
      </c>
      <c r="F820">
        <v>5</v>
      </c>
      <c r="G820" t="s">
        <v>1044</v>
      </c>
      <c r="H820">
        <f>_xlfn.XLOOKUP(D820, productos!$A$2:$A$150, productos!$D$2:$D$150, "No Encontrado", 0)</f>
        <v>12.24</v>
      </c>
      <c r="I820">
        <f t="shared" si="12"/>
        <v>48.96</v>
      </c>
    </row>
    <row r="821" spans="1:9" x14ac:dyDescent="0.25">
      <c r="A821">
        <v>2914</v>
      </c>
      <c r="B821" s="1">
        <v>45383</v>
      </c>
      <c r="C821">
        <v>66</v>
      </c>
      <c r="D821">
        <v>22</v>
      </c>
      <c r="E821">
        <v>6</v>
      </c>
      <c r="F821">
        <v>4</v>
      </c>
      <c r="G821" t="s">
        <v>1045</v>
      </c>
      <c r="H821">
        <f>_xlfn.XLOOKUP(D821, productos!$A$2:$A$150, productos!$D$2:$D$150, "No Encontrado", 0)</f>
        <v>4.21</v>
      </c>
      <c r="I821">
        <f t="shared" si="12"/>
        <v>25.259999999999998</v>
      </c>
    </row>
    <row r="822" spans="1:9" x14ac:dyDescent="0.25">
      <c r="A822">
        <v>837</v>
      </c>
      <c r="B822" s="1">
        <v>45384</v>
      </c>
      <c r="C822">
        <v>102</v>
      </c>
      <c r="D822">
        <v>4</v>
      </c>
      <c r="E822">
        <v>3</v>
      </c>
      <c r="F822">
        <v>1</v>
      </c>
      <c r="G822" t="s">
        <v>1044</v>
      </c>
      <c r="H822">
        <f>_xlfn.XLOOKUP(D822, productos!$A$2:$A$150, productos!$D$2:$D$150, "No Encontrado", 0)</f>
        <v>19.23</v>
      </c>
      <c r="I822">
        <f t="shared" si="12"/>
        <v>57.69</v>
      </c>
    </row>
    <row r="823" spans="1:9" x14ac:dyDescent="0.25">
      <c r="A823">
        <v>1224</v>
      </c>
      <c r="B823" s="1">
        <v>45384</v>
      </c>
      <c r="C823">
        <v>60</v>
      </c>
      <c r="D823">
        <v>4</v>
      </c>
      <c r="E823">
        <v>3</v>
      </c>
      <c r="F823">
        <v>5</v>
      </c>
      <c r="G823" t="s">
        <v>1045</v>
      </c>
      <c r="H823">
        <f>_xlfn.XLOOKUP(D823, productos!$A$2:$A$150, productos!$D$2:$D$150, "No Encontrado", 0)</f>
        <v>19.23</v>
      </c>
      <c r="I823">
        <f t="shared" si="12"/>
        <v>57.69</v>
      </c>
    </row>
    <row r="824" spans="1:9" x14ac:dyDescent="0.25">
      <c r="A824">
        <v>1819</v>
      </c>
      <c r="B824" s="1">
        <v>45384</v>
      </c>
      <c r="C824">
        <v>192</v>
      </c>
      <c r="D824">
        <v>22</v>
      </c>
      <c r="E824">
        <v>5</v>
      </c>
      <c r="F824">
        <v>1</v>
      </c>
      <c r="G824" t="s">
        <v>1045</v>
      </c>
      <c r="H824">
        <f>_xlfn.XLOOKUP(D824, productos!$A$2:$A$150, productos!$D$2:$D$150, "No Encontrado", 0)</f>
        <v>4.21</v>
      </c>
      <c r="I824">
        <f t="shared" si="12"/>
        <v>21.05</v>
      </c>
    </row>
    <row r="825" spans="1:9" x14ac:dyDescent="0.25">
      <c r="A825">
        <v>1968</v>
      </c>
      <c r="B825" s="1">
        <v>45384</v>
      </c>
      <c r="C825">
        <v>285</v>
      </c>
      <c r="D825">
        <v>12</v>
      </c>
      <c r="E825">
        <v>2</v>
      </c>
      <c r="F825">
        <v>5</v>
      </c>
      <c r="G825" t="s">
        <v>1045</v>
      </c>
      <c r="H825">
        <f>_xlfn.XLOOKUP(D825, productos!$A$2:$A$150, productos!$D$2:$D$150, "No Encontrado", 0)</f>
        <v>8.1199999999999992</v>
      </c>
      <c r="I825">
        <f t="shared" si="12"/>
        <v>16.239999999999998</v>
      </c>
    </row>
    <row r="826" spans="1:9" x14ac:dyDescent="0.25">
      <c r="A826">
        <v>2413</v>
      </c>
      <c r="B826" s="1">
        <v>45384</v>
      </c>
      <c r="C826">
        <v>248</v>
      </c>
      <c r="D826">
        <v>31</v>
      </c>
      <c r="E826">
        <v>5</v>
      </c>
      <c r="F826">
        <v>4</v>
      </c>
      <c r="G826" t="s">
        <v>1044</v>
      </c>
      <c r="H826">
        <f>_xlfn.XLOOKUP(D826, productos!$A$2:$A$150, productos!$D$2:$D$150, "No Encontrado", 0)</f>
        <v>5.24</v>
      </c>
      <c r="I826">
        <f t="shared" si="12"/>
        <v>26.200000000000003</v>
      </c>
    </row>
    <row r="827" spans="1:9" x14ac:dyDescent="0.25">
      <c r="A827">
        <v>2465</v>
      </c>
      <c r="B827" s="1">
        <v>45384</v>
      </c>
      <c r="C827">
        <v>240</v>
      </c>
      <c r="D827">
        <v>9</v>
      </c>
      <c r="E827">
        <v>3</v>
      </c>
      <c r="F827">
        <v>2</v>
      </c>
      <c r="G827" t="s">
        <v>1044</v>
      </c>
      <c r="H827">
        <f>_xlfn.XLOOKUP(D827, productos!$A$2:$A$150, productos!$D$2:$D$150, "No Encontrado", 0)</f>
        <v>18.559999999999999</v>
      </c>
      <c r="I827">
        <f t="shared" si="12"/>
        <v>55.679999999999993</v>
      </c>
    </row>
    <row r="828" spans="1:9" x14ac:dyDescent="0.25">
      <c r="A828">
        <v>2899</v>
      </c>
      <c r="B828" s="1">
        <v>45384</v>
      </c>
      <c r="C828">
        <v>163</v>
      </c>
      <c r="D828">
        <v>34</v>
      </c>
      <c r="E828">
        <v>5</v>
      </c>
      <c r="F828">
        <v>1</v>
      </c>
      <c r="G828" t="s">
        <v>1045</v>
      </c>
      <c r="H828">
        <f>_xlfn.XLOOKUP(D828, productos!$A$2:$A$150, productos!$D$2:$D$150, "No Encontrado", 0)</f>
        <v>5.45</v>
      </c>
      <c r="I828">
        <f t="shared" si="12"/>
        <v>27.25</v>
      </c>
    </row>
    <row r="829" spans="1:9" x14ac:dyDescent="0.25">
      <c r="A829">
        <v>339</v>
      </c>
      <c r="B829" s="1">
        <v>45385</v>
      </c>
      <c r="C829">
        <v>81</v>
      </c>
      <c r="D829">
        <v>21</v>
      </c>
      <c r="E829">
        <v>1</v>
      </c>
      <c r="F829">
        <v>3</v>
      </c>
      <c r="G829" t="s">
        <v>1044</v>
      </c>
      <c r="H829">
        <f>_xlfn.XLOOKUP(D829, productos!$A$2:$A$150, productos!$D$2:$D$150, "No Encontrado", 0)</f>
        <v>3.25</v>
      </c>
      <c r="I829">
        <f t="shared" si="12"/>
        <v>3.25</v>
      </c>
    </row>
    <row r="830" spans="1:9" x14ac:dyDescent="0.25">
      <c r="A830">
        <v>844</v>
      </c>
      <c r="B830" s="1">
        <v>45385</v>
      </c>
      <c r="C830">
        <v>258</v>
      </c>
      <c r="D830">
        <v>22</v>
      </c>
      <c r="E830">
        <v>2</v>
      </c>
      <c r="F830">
        <v>2</v>
      </c>
      <c r="G830" t="s">
        <v>1045</v>
      </c>
      <c r="H830">
        <f>_xlfn.XLOOKUP(D830, productos!$A$2:$A$150, productos!$D$2:$D$150, "No Encontrado", 0)</f>
        <v>4.21</v>
      </c>
      <c r="I830">
        <f t="shared" si="12"/>
        <v>8.42</v>
      </c>
    </row>
    <row r="831" spans="1:9" x14ac:dyDescent="0.25">
      <c r="A831">
        <v>1687</v>
      </c>
      <c r="B831" s="1">
        <v>45385</v>
      </c>
      <c r="C831">
        <v>160</v>
      </c>
      <c r="D831">
        <v>23</v>
      </c>
      <c r="E831">
        <v>6</v>
      </c>
      <c r="F831">
        <v>5</v>
      </c>
      <c r="G831" t="s">
        <v>1044</v>
      </c>
      <c r="H831">
        <f>_xlfn.XLOOKUP(D831, productos!$A$2:$A$150, productos!$D$2:$D$150, "No Encontrado", 0)</f>
        <v>8.23</v>
      </c>
      <c r="I831">
        <f t="shared" si="12"/>
        <v>49.38</v>
      </c>
    </row>
    <row r="832" spans="1:9" x14ac:dyDescent="0.25">
      <c r="A832">
        <v>1704</v>
      </c>
      <c r="B832" s="1">
        <v>45385</v>
      </c>
      <c r="C832">
        <v>104</v>
      </c>
      <c r="D832">
        <v>3</v>
      </c>
      <c r="E832">
        <v>4</v>
      </c>
      <c r="F832">
        <v>4</v>
      </c>
      <c r="G832" t="s">
        <v>1044</v>
      </c>
      <c r="H832">
        <f>_xlfn.XLOOKUP(D832, productos!$A$2:$A$150, productos!$D$2:$D$150, "No Encontrado", 0)</f>
        <v>17.23</v>
      </c>
      <c r="I832">
        <f t="shared" si="12"/>
        <v>68.92</v>
      </c>
    </row>
    <row r="833" spans="1:9" x14ac:dyDescent="0.25">
      <c r="A833">
        <v>1913</v>
      </c>
      <c r="B833" s="1">
        <v>45385</v>
      </c>
      <c r="C833">
        <v>78</v>
      </c>
      <c r="D833">
        <v>33</v>
      </c>
      <c r="E833">
        <v>5</v>
      </c>
      <c r="F833">
        <v>4</v>
      </c>
      <c r="G833" t="s">
        <v>1044</v>
      </c>
      <c r="H833">
        <f>_xlfn.XLOOKUP(D833, productos!$A$2:$A$150, productos!$D$2:$D$150, "No Encontrado", 0)</f>
        <v>8.5399999999999991</v>
      </c>
      <c r="I833">
        <f t="shared" si="12"/>
        <v>42.699999999999996</v>
      </c>
    </row>
    <row r="834" spans="1:9" x14ac:dyDescent="0.25">
      <c r="A834">
        <v>2532</v>
      </c>
      <c r="B834" s="1">
        <v>45385</v>
      </c>
      <c r="C834">
        <v>28</v>
      </c>
      <c r="D834">
        <v>13</v>
      </c>
      <c r="E834">
        <v>5</v>
      </c>
      <c r="F834">
        <v>4</v>
      </c>
      <c r="G834" t="s">
        <v>1044</v>
      </c>
      <c r="H834">
        <f>_xlfn.XLOOKUP(D834, productos!$A$2:$A$150, productos!$D$2:$D$150, "No Encontrado", 0)</f>
        <v>12.56</v>
      </c>
      <c r="I834">
        <f t="shared" si="12"/>
        <v>62.800000000000004</v>
      </c>
    </row>
    <row r="835" spans="1:9" x14ac:dyDescent="0.25">
      <c r="A835">
        <v>2571</v>
      </c>
      <c r="B835" s="1">
        <v>45385</v>
      </c>
      <c r="C835">
        <v>54</v>
      </c>
      <c r="D835">
        <v>18</v>
      </c>
      <c r="E835">
        <v>5</v>
      </c>
      <c r="F835">
        <v>4</v>
      </c>
      <c r="G835" t="s">
        <v>1044</v>
      </c>
      <c r="H835">
        <f>_xlfn.XLOOKUP(D835, productos!$A$2:$A$150, productos!$D$2:$D$150, "No Encontrado", 0)</f>
        <v>7.25</v>
      </c>
      <c r="I835">
        <f t="shared" ref="I835:I898" si="13">E835*H835</f>
        <v>36.25</v>
      </c>
    </row>
    <row r="836" spans="1:9" x14ac:dyDescent="0.25">
      <c r="A836">
        <v>2641</v>
      </c>
      <c r="B836" s="1">
        <v>45385</v>
      </c>
      <c r="C836">
        <v>172</v>
      </c>
      <c r="D836">
        <v>8</v>
      </c>
      <c r="E836">
        <v>3</v>
      </c>
      <c r="F836">
        <v>3</v>
      </c>
      <c r="G836" t="s">
        <v>1044</v>
      </c>
      <c r="H836">
        <f>_xlfn.XLOOKUP(D836, productos!$A$2:$A$150, productos!$D$2:$D$150, "No Encontrado", 0)</f>
        <v>16.21</v>
      </c>
      <c r="I836">
        <f t="shared" si="13"/>
        <v>48.63</v>
      </c>
    </row>
    <row r="837" spans="1:9" x14ac:dyDescent="0.25">
      <c r="A837">
        <v>2795</v>
      </c>
      <c r="B837" s="1">
        <v>45385</v>
      </c>
      <c r="C837">
        <v>39</v>
      </c>
      <c r="D837">
        <v>8</v>
      </c>
      <c r="E837">
        <v>5</v>
      </c>
      <c r="F837">
        <v>4</v>
      </c>
      <c r="G837" t="s">
        <v>1044</v>
      </c>
      <c r="H837">
        <f>_xlfn.XLOOKUP(D837, productos!$A$2:$A$150, productos!$D$2:$D$150, "No Encontrado", 0)</f>
        <v>16.21</v>
      </c>
      <c r="I837">
        <f t="shared" si="13"/>
        <v>81.050000000000011</v>
      </c>
    </row>
    <row r="838" spans="1:9" x14ac:dyDescent="0.25">
      <c r="A838">
        <v>2954</v>
      </c>
      <c r="B838" s="1">
        <v>45385</v>
      </c>
      <c r="C838">
        <v>237</v>
      </c>
      <c r="D838">
        <v>27</v>
      </c>
      <c r="E838">
        <v>6</v>
      </c>
      <c r="F838">
        <v>3</v>
      </c>
      <c r="G838" t="s">
        <v>1044</v>
      </c>
      <c r="H838">
        <f>_xlfn.XLOOKUP(D838, productos!$A$2:$A$150, productos!$D$2:$D$150, "No Encontrado", 0)</f>
        <v>6.21</v>
      </c>
      <c r="I838">
        <f t="shared" si="13"/>
        <v>37.26</v>
      </c>
    </row>
    <row r="839" spans="1:9" x14ac:dyDescent="0.25">
      <c r="A839">
        <v>2961</v>
      </c>
      <c r="B839" s="1">
        <v>45385</v>
      </c>
      <c r="C839">
        <v>141</v>
      </c>
      <c r="D839">
        <v>25</v>
      </c>
      <c r="E839">
        <v>2</v>
      </c>
      <c r="F839">
        <v>1</v>
      </c>
      <c r="G839" t="s">
        <v>1044</v>
      </c>
      <c r="H839">
        <f>_xlfn.XLOOKUP(D839, productos!$A$2:$A$150, productos!$D$2:$D$150, "No Encontrado", 0)</f>
        <v>15.45</v>
      </c>
      <c r="I839">
        <f t="shared" si="13"/>
        <v>30.9</v>
      </c>
    </row>
    <row r="840" spans="1:9" x14ac:dyDescent="0.25">
      <c r="A840">
        <v>327</v>
      </c>
      <c r="B840" s="1">
        <v>45386</v>
      </c>
      <c r="C840">
        <v>203</v>
      </c>
      <c r="D840">
        <v>27</v>
      </c>
      <c r="E840">
        <v>4</v>
      </c>
      <c r="F840">
        <v>2</v>
      </c>
      <c r="G840" t="s">
        <v>1044</v>
      </c>
      <c r="H840">
        <f>_xlfn.XLOOKUP(D840, productos!$A$2:$A$150, productos!$D$2:$D$150, "No Encontrado", 0)</f>
        <v>6.21</v>
      </c>
      <c r="I840">
        <f t="shared" si="13"/>
        <v>24.84</v>
      </c>
    </row>
    <row r="841" spans="1:9" x14ac:dyDescent="0.25">
      <c r="A841">
        <v>491</v>
      </c>
      <c r="B841" s="1">
        <v>45386</v>
      </c>
      <c r="C841">
        <v>25</v>
      </c>
      <c r="D841">
        <v>5</v>
      </c>
      <c r="E841">
        <v>5</v>
      </c>
      <c r="F841">
        <v>5</v>
      </c>
      <c r="G841" t="s">
        <v>1044</v>
      </c>
      <c r="H841">
        <f>_xlfn.XLOOKUP(D841, productos!$A$2:$A$150, productos!$D$2:$D$150, "No Encontrado", 0)</f>
        <v>5.65</v>
      </c>
      <c r="I841">
        <f t="shared" si="13"/>
        <v>28.25</v>
      </c>
    </row>
    <row r="842" spans="1:9" x14ac:dyDescent="0.25">
      <c r="A842">
        <v>1175</v>
      </c>
      <c r="B842" s="1">
        <v>45386</v>
      </c>
      <c r="C842">
        <v>189</v>
      </c>
      <c r="D842">
        <v>17</v>
      </c>
      <c r="E842">
        <v>3</v>
      </c>
      <c r="F842">
        <v>1</v>
      </c>
      <c r="G842" t="s">
        <v>1044</v>
      </c>
      <c r="H842">
        <f>_xlfn.XLOOKUP(D842, productos!$A$2:$A$150, productos!$D$2:$D$150, "No Encontrado", 0)</f>
        <v>6.54</v>
      </c>
      <c r="I842">
        <f t="shared" si="13"/>
        <v>19.62</v>
      </c>
    </row>
    <row r="843" spans="1:9" x14ac:dyDescent="0.25">
      <c r="A843">
        <v>1417</v>
      </c>
      <c r="B843" s="1">
        <v>45386</v>
      </c>
      <c r="C843">
        <v>126</v>
      </c>
      <c r="D843">
        <v>13</v>
      </c>
      <c r="E843">
        <v>5</v>
      </c>
      <c r="F843">
        <v>3</v>
      </c>
      <c r="G843" t="s">
        <v>1044</v>
      </c>
      <c r="H843">
        <f>_xlfn.XLOOKUP(D843, productos!$A$2:$A$150, productos!$D$2:$D$150, "No Encontrado", 0)</f>
        <v>12.56</v>
      </c>
      <c r="I843">
        <f t="shared" si="13"/>
        <v>62.800000000000004</v>
      </c>
    </row>
    <row r="844" spans="1:9" x14ac:dyDescent="0.25">
      <c r="A844">
        <v>1782</v>
      </c>
      <c r="B844" s="1">
        <v>45386</v>
      </c>
      <c r="C844">
        <v>145</v>
      </c>
      <c r="D844">
        <v>13</v>
      </c>
      <c r="E844">
        <v>2</v>
      </c>
      <c r="F844">
        <v>3</v>
      </c>
      <c r="G844" t="s">
        <v>1044</v>
      </c>
      <c r="H844">
        <f>_xlfn.XLOOKUP(D844, productos!$A$2:$A$150, productos!$D$2:$D$150, "No Encontrado", 0)</f>
        <v>12.56</v>
      </c>
      <c r="I844">
        <f t="shared" si="13"/>
        <v>25.12</v>
      </c>
    </row>
    <row r="845" spans="1:9" x14ac:dyDescent="0.25">
      <c r="A845">
        <v>1872</v>
      </c>
      <c r="B845" s="1">
        <v>45386</v>
      </c>
      <c r="C845">
        <v>239</v>
      </c>
      <c r="D845">
        <v>16</v>
      </c>
      <c r="E845">
        <v>6</v>
      </c>
      <c r="F845">
        <v>1</v>
      </c>
      <c r="G845" t="s">
        <v>1044</v>
      </c>
      <c r="H845">
        <f>_xlfn.XLOOKUP(D845, productos!$A$2:$A$150, productos!$D$2:$D$150, "No Encontrado", 0)</f>
        <v>15.23</v>
      </c>
      <c r="I845">
        <f t="shared" si="13"/>
        <v>91.38</v>
      </c>
    </row>
    <row r="846" spans="1:9" x14ac:dyDescent="0.25">
      <c r="A846">
        <v>2844</v>
      </c>
      <c r="B846" s="1">
        <v>45386</v>
      </c>
      <c r="C846">
        <v>213</v>
      </c>
      <c r="D846">
        <v>22</v>
      </c>
      <c r="E846">
        <v>3</v>
      </c>
      <c r="F846">
        <v>5</v>
      </c>
      <c r="G846" t="s">
        <v>1044</v>
      </c>
      <c r="H846">
        <f>_xlfn.XLOOKUP(D846, productos!$A$2:$A$150, productos!$D$2:$D$150, "No Encontrado", 0)</f>
        <v>4.21</v>
      </c>
      <c r="I846">
        <f t="shared" si="13"/>
        <v>12.629999999999999</v>
      </c>
    </row>
    <row r="847" spans="1:9" x14ac:dyDescent="0.25">
      <c r="A847">
        <v>2879</v>
      </c>
      <c r="B847" s="1">
        <v>45386</v>
      </c>
      <c r="C847">
        <v>186</v>
      </c>
      <c r="D847">
        <v>3</v>
      </c>
      <c r="E847">
        <v>5</v>
      </c>
      <c r="F847">
        <v>4</v>
      </c>
      <c r="G847" t="s">
        <v>1044</v>
      </c>
      <c r="H847">
        <f>_xlfn.XLOOKUP(D847, productos!$A$2:$A$150, productos!$D$2:$D$150, "No Encontrado", 0)</f>
        <v>17.23</v>
      </c>
      <c r="I847">
        <f t="shared" si="13"/>
        <v>86.15</v>
      </c>
    </row>
    <row r="848" spans="1:9" x14ac:dyDescent="0.25">
      <c r="A848">
        <v>799</v>
      </c>
      <c r="B848" s="1">
        <v>45387</v>
      </c>
      <c r="C848">
        <v>55</v>
      </c>
      <c r="D848">
        <v>19</v>
      </c>
      <c r="E848">
        <v>1</v>
      </c>
      <c r="F848">
        <v>5</v>
      </c>
      <c r="G848" t="s">
        <v>1045</v>
      </c>
      <c r="H848">
        <f>_xlfn.XLOOKUP(D848, productos!$A$2:$A$150, productos!$D$2:$D$150, "No Encontrado", 0)</f>
        <v>6.54</v>
      </c>
      <c r="I848">
        <f t="shared" si="13"/>
        <v>6.54</v>
      </c>
    </row>
    <row r="849" spans="1:9" x14ac:dyDescent="0.25">
      <c r="A849">
        <v>905</v>
      </c>
      <c r="B849" s="1">
        <v>45387</v>
      </c>
      <c r="C849">
        <v>151</v>
      </c>
      <c r="D849">
        <v>3</v>
      </c>
      <c r="E849">
        <v>2</v>
      </c>
      <c r="F849">
        <v>4</v>
      </c>
      <c r="G849" t="s">
        <v>1044</v>
      </c>
      <c r="H849">
        <f>_xlfn.XLOOKUP(D849, productos!$A$2:$A$150, productos!$D$2:$D$150, "No Encontrado", 0)</f>
        <v>17.23</v>
      </c>
      <c r="I849">
        <f t="shared" si="13"/>
        <v>34.46</v>
      </c>
    </row>
    <row r="850" spans="1:9" x14ac:dyDescent="0.25">
      <c r="A850">
        <v>1195</v>
      </c>
      <c r="B850" s="1">
        <v>45387</v>
      </c>
      <c r="C850">
        <v>47</v>
      </c>
      <c r="D850">
        <v>16</v>
      </c>
      <c r="E850">
        <v>3</v>
      </c>
      <c r="F850">
        <v>3</v>
      </c>
      <c r="G850" t="s">
        <v>1044</v>
      </c>
      <c r="H850">
        <f>_xlfn.XLOOKUP(D850, productos!$A$2:$A$150, productos!$D$2:$D$150, "No Encontrado", 0)</f>
        <v>15.23</v>
      </c>
      <c r="I850">
        <f t="shared" si="13"/>
        <v>45.69</v>
      </c>
    </row>
    <row r="851" spans="1:9" x14ac:dyDescent="0.25">
      <c r="A851">
        <v>2276</v>
      </c>
      <c r="B851" s="1">
        <v>45387</v>
      </c>
      <c r="C851">
        <v>62</v>
      </c>
      <c r="D851">
        <v>23</v>
      </c>
      <c r="E851">
        <v>6</v>
      </c>
      <c r="F851">
        <v>4</v>
      </c>
      <c r="G851" t="s">
        <v>1045</v>
      </c>
      <c r="H851">
        <f>_xlfn.XLOOKUP(D851, productos!$A$2:$A$150, productos!$D$2:$D$150, "No Encontrado", 0)</f>
        <v>8.23</v>
      </c>
      <c r="I851">
        <f t="shared" si="13"/>
        <v>49.38</v>
      </c>
    </row>
    <row r="852" spans="1:9" x14ac:dyDescent="0.25">
      <c r="A852">
        <v>2884</v>
      </c>
      <c r="B852" s="1">
        <v>45387</v>
      </c>
      <c r="C852">
        <v>307</v>
      </c>
      <c r="D852">
        <v>32</v>
      </c>
      <c r="E852">
        <v>3</v>
      </c>
      <c r="F852">
        <v>1</v>
      </c>
      <c r="G852" t="s">
        <v>1044</v>
      </c>
      <c r="H852">
        <f>_xlfn.XLOOKUP(D852, productos!$A$2:$A$150, productos!$D$2:$D$150, "No Encontrado", 0)</f>
        <v>6.25</v>
      </c>
      <c r="I852">
        <f t="shared" si="13"/>
        <v>18.75</v>
      </c>
    </row>
    <row r="853" spans="1:9" x14ac:dyDescent="0.25">
      <c r="A853">
        <v>2945</v>
      </c>
      <c r="B853" s="1">
        <v>45387</v>
      </c>
      <c r="C853">
        <v>245</v>
      </c>
      <c r="D853">
        <v>20</v>
      </c>
      <c r="E853">
        <v>1</v>
      </c>
      <c r="F853">
        <v>5</v>
      </c>
      <c r="G853" t="s">
        <v>1044</v>
      </c>
      <c r="H853">
        <f>_xlfn.XLOOKUP(D853, productos!$A$2:$A$150, productos!$D$2:$D$150, "No Encontrado", 0)</f>
        <v>4.25</v>
      </c>
      <c r="I853">
        <f t="shared" si="13"/>
        <v>4.25</v>
      </c>
    </row>
    <row r="854" spans="1:9" x14ac:dyDescent="0.25">
      <c r="A854">
        <v>2995</v>
      </c>
      <c r="B854" s="1">
        <v>45387</v>
      </c>
      <c r="C854">
        <v>38</v>
      </c>
      <c r="D854">
        <v>34</v>
      </c>
      <c r="E854">
        <v>5</v>
      </c>
      <c r="F854">
        <v>5</v>
      </c>
      <c r="G854" t="s">
        <v>1044</v>
      </c>
      <c r="H854">
        <f>_xlfn.XLOOKUP(D854, productos!$A$2:$A$150, productos!$D$2:$D$150, "No Encontrado", 0)</f>
        <v>5.45</v>
      </c>
      <c r="I854">
        <f t="shared" si="13"/>
        <v>27.25</v>
      </c>
    </row>
    <row r="855" spans="1:9" x14ac:dyDescent="0.25">
      <c r="A855">
        <v>1068</v>
      </c>
      <c r="B855" s="1">
        <v>45388</v>
      </c>
      <c r="C855">
        <v>318</v>
      </c>
      <c r="D855">
        <v>6</v>
      </c>
      <c r="E855">
        <v>3</v>
      </c>
      <c r="F855">
        <v>5</v>
      </c>
      <c r="G855" t="s">
        <v>1044</v>
      </c>
      <c r="H855">
        <f>_xlfn.XLOOKUP(D855, productos!$A$2:$A$150, productos!$D$2:$D$150, "No Encontrado", 0)</f>
        <v>28.56</v>
      </c>
      <c r="I855">
        <f t="shared" si="13"/>
        <v>85.679999999999993</v>
      </c>
    </row>
    <row r="856" spans="1:9" x14ac:dyDescent="0.25">
      <c r="A856">
        <v>1960</v>
      </c>
      <c r="B856" s="1">
        <v>45388</v>
      </c>
      <c r="C856">
        <v>266</v>
      </c>
      <c r="D856">
        <v>30</v>
      </c>
      <c r="E856">
        <v>3</v>
      </c>
      <c r="F856">
        <v>5</v>
      </c>
      <c r="G856" t="s">
        <v>1044</v>
      </c>
      <c r="H856">
        <f>_xlfn.XLOOKUP(D856, productos!$A$2:$A$150, productos!$D$2:$D$150, "No Encontrado", 0)</f>
        <v>13.54</v>
      </c>
      <c r="I856">
        <f t="shared" si="13"/>
        <v>40.619999999999997</v>
      </c>
    </row>
    <row r="857" spans="1:9" x14ac:dyDescent="0.25">
      <c r="A857">
        <v>2718</v>
      </c>
      <c r="B857" s="1">
        <v>45388</v>
      </c>
      <c r="C857">
        <v>157</v>
      </c>
      <c r="D857">
        <v>32</v>
      </c>
      <c r="E857">
        <v>1</v>
      </c>
      <c r="F857">
        <v>5</v>
      </c>
      <c r="G857" t="s">
        <v>1044</v>
      </c>
      <c r="H857">
        <f>_xlfn.XLOOKUP(D857, productos!$A$2:$A$150, productos!$D$2:$D$150, "No Encontrado", 0)</f>
        <v>6.25</v>
      </c>
      <c r="I857">
        <f t="shared" si="13"/>
        <v>6.25</v>
      </c>
    </row>
    <row r="858" spans="1:9" x14ac:dyDescent="0.25">
      <c r="A858">
        <v>395</v>
      </c>
      <c r="B858" s="1">
        <v>45389</v>
      </c>
      <c r="C858">
        <v>75</v>
      </c>
      <c r="D858">
        <v>32</v>
      </c>
      <c r="E858">
        <v>5</v>
      </c>
      <c r="F858">
        <v>5</v>
      </c>
      <c r="G858" t="s">
        <v>1044</v>
      </c>
      <c r="H858">
        <f>_xlfn.XLOOKUP(D858, productos!$A$2:$A$150, productos!$D$2:$D$150, "No Encontrado", 0)</f>
        <v>6.25</v>
      </c>
      <c r="I858">
        <f t="shared" si="13"/>
        <v>31.25</v>
      </c>
    </row>
    <row r="859" spans="1:9" x14ac:dyDescent="0.25">
      <c r="A859">
        <v>453</v>
      </c>
      <c r="B859" s="1">
        <v>45389</v>
      </c>
      <c r="C859">
        <v>75</v>
      </c>
      <c r="D859">
        <v>12</v>
      </c>
      <c r="E859">
        <v>2</v>
      </c>
      <c r="F859">
        <v>4</v>
      </c>
      <c r="G859" t="s">
        <v>1044</v>
      </c>
      <c r="H859">
        <f>_xlfn.XLOOKUP(D859, productos!$A$2:$A$150, productos!$D$2:$D$150, "No Encontrado", 0)</f>
        <v>8.1199999999999992</v>
      </c>
      <c r="I859">
        <f t="shared" si="13"/>
        <v>16.239999999999998</v>
      </c>
    </row>
    <row r="860" spans="1:9" x14ac:dyDescent="0.25">
      <c r="A860">
        <v>657</v>
      </c>
      <c r="B860" s="1">
        <v>45389</v>
      </c>
      <c r="C860">
        <v>57</v>
      </c>
      <c r="D860">
        <v>36</v>
      </c>
      <c r="E860">
        <v>1</v>
      </c>
      <c r="F860">
        <v>4</v>
      </c>
      <c r="G860" t="s">
        <v>1044</v>
      </c>
      <c r="H860">
        <f>_xlfn.XLOOKUP(D860, productos!$A$2:$A$150, productos!$D$2:$D$150, "No Encontrado", 0)</f>
        <v>3.25</v>
      </c>
      <c r="I860">
        <f t="shared" si="13"/>
        <v>3.25</v>
      </c>
    </row>
    <row r="861" spans="1:9" x14ac:dyDescent="0.25">
      <c r="A861">
        <v>1220</v>
      </c>
      <c r="B861" s="1">
        <v>45389</v>
      </c>
      <c r="C861">
        <v>224</v>
      </c>
      <c r="D861">
        <v>38</v>
      </c>
      <c r="E861">
        <v>5</v>
      </c>
      <c r="F861">
        <v>3</v>
      </c>
      <c r="G861" t="s">
        <v>1044</v>
      </c>
      <c r="H861">
        <f>_xlfn.XLOOKUP(D861, productos!$A$2:$A$150, productos!$D$2:$D$150, "No Encontrado", 0)</f>
        <v>6.21</v>
      </c>
      <c r="I861">
        <f t="shared" si="13"/>
        <v>31.05</v>
      </c>
    </row>
    <row r="862" spans="1:9" x14ac:dyDescent="0.25">
      <c r="A862">
        <v>2084</v>
      </c>
      <c r="B862" s="1">
        <v>45389</v>
      </c>
      <c r="C862">
        <v>138</v>
      </c>
      <c r="D862">
        <v>33</v>
      </c>
      <c r="E862">
        <v>4</v>
      </c>
      <c r="F862">
        <v>3</v>
      </c>
      <c r="G862" t="s">
        <v>1044</v>
      </c>
      <c r="H862">
        <f>_xlfn.XLOOKUP(D862, productos!$A$2:$A$150, productos!$D$2:$D$150, "No Encontrado", 0)</f>
        <v>8.5399999999999991</v>
      </c>
      <c r="I862">
        <f t="shared" si="13"/>
        <v>34.159999999999997</v>
      </c>
    </row>
    <row r="863" spans="1:9" x14ac:dyDescent="0.25">
      <c r="A863">
        <v>2726</v>
      </c>
      <c r="B863" s="1">
        <v>45389</v>
      </c>
      <c r="C863">
        <v>166</v>
      </c>
      <c r="D863">
        <v>17</v>
      </c>
      <c r="E863">
        <v>6</v>
      </c>
      <c r="F863">
        <v>4</v>
      </c>
      <c r="G863" t="s">
        <v>1044</v>
      </c>
      <c r="H863">
        <f>_xlfn.XLOOKUP(D863, productos!$A$2:$A$150, productos!$D$2:$D$150, "No Encontrado", 0)</f>
        <v>6.54</v>
      </c>
      <c r="I863">
        <f t="shared" si="13"/>
        <v>39.24</v>
      </c>
    </row>
    <row r="864" spans="1:9" x14ac:dyDescent="0.25">
      <c r="A864">
        <v>2731</v>
      </c>
      <c r="B864" s="1">
        <v>45389</v>
      </c>
      <c r="C864">
        <v>132</v>
      </c>
      <c r="D864">
        <v>5</v>
      </c>
      <c r="E864">
        <v>3</v>
      </c>
      <c r="F864">
        <v>1</v>
      </c>
      <c r="G864" t="s">
        <v>1045</v>
      </c>
      <c r="H864">
        <f>_xlfn.XLOOKUP(D864, productos!$A$2:$A$150, productos!$D$2:$D$150, "No Encontrado", 0)</f>
        <v>5.65</v>
      </c>
      <c r="I864">
        <f t="shared" si="13"/>
        <v>16.950000000000003</v>
      </c>
    </row>
    <row r="865" spans="1:9" x14ac:dyDescent="0.25">
      <c r="A865">
        <v>581</v>
      </c>
      <c r="B865" s="1">
        <v>45390</v>
      </c>
      <c r="C865">
        <v>297</v>
      </c>
      <c r="D865">
        <v>6</v>
      </c>
      <c r="E865">
        <v>1</v>
      </c>
      <c r="F865">
        <v>3</v>
      </c>
      <c r="G865" t="s">
        <v>1045</v>
      </c>
      <c r="H865">
        <f>_xlfn.XLOOKUP(D865, productos!$A$2:$A$150, productos!$D$2:$D$150, "No Encontrado", 0)</f>
        <v>28.56</v>
      </c>
      <c r="I865">
        <f t="shared" si="13"/>
        <v>28.56</v>
      </c>
    </row>
    <row r="866" spans="1:9" x14ac:dyDescent="0.25">
      <c r="A866">
        <v>1470</v>
      </c>
      <c r="B866" s="1">
        <v>45390</v>
      </c>
      <c r="C866">
        <v>38</v>
      </c>
      <c r="D866">
        <v>24</v>
      </c>
      <c r="E866">
        <v>5</v>
      </c>
      <c r="F866">
        <v>5</v>
      </c>
      <c r="G866" t="s">
        <v>1044</v>
      </c>
      <c r="H866">
        <f>_xlfn.XLOOKUP(D866, productos!$A$2:$A$150, productos!$D$2:$D$150, "No Encontrado", 0)</f>
        <v>13.54</v>
      </c>
      <c r="I866">
        <f t="shared" si="13"/>
        <v>67.699999999999989</v>
      </c>
    </row>
    <row r="867" spans="1:9" x14ac:dyDescent="0.25">
      <c r="A867">
        <v>1834</v>
      </c>
      <c r="B867" s="1">
        <v>45390</v>
      </c>
      <c r="C867">
        <v>141</v>
      </c>
      <c r="D867">
        <v>7</v>
      </c>
      <c r="E867">
        <v>1</v>
      </c>
      <c r="F867">
        <v>5</v>
      </c>
      <c r="G867" t="s">
        <v>1044</v>
      </c>
      <c r="H867">
        <f>_xlfn.XLOOKUP(D867, productos!$A$2:$A$150, productos!$D$2:$D$150, "No Encontrado", 0)</f>
        <v>11.25</v>
      </c>
      <c r="I867">
        <f t="shared" si="13"/>
        <v>11.25</v>
      </c>
    </row>
    <row r="868" spans="1:9" x14ac:dyDescent="0.25">
      <c r="A868">
        <v>1840</v>
      </c>
      <c r="B868" s="1">
        <v>45390</v>
      </c>
      <c r="C868">
        <v>241</v>
      </c>
      <c r="D868">
        <v>12</v>
      </c>
      <c r="E868">
        <v>6</v>
      </c>
      <c r="F868">
        <v>3</v>
      </c>
      <c r="G868" t="s">
        <v>1044</v>
      </c>
      <c r="H868">
        <f>_xlfn.XLOOKUP(D868, productos!$A$2:$A$150, productos!$D$2:$D$150, "No Encontrado", 0)</f>
        <v>8.1199999999999992</v>
      </c>
      <c r="I868">
        <f t="shared" si="13"/>
        <v>48.72</v>
      </c>
    </row>
    <row r="869" spans="1:9" x14ac:dyDescent="0.25">
      <c r="A869">
        <v>2140</v>
      </c>
      <c r="B869" s="1">
        <v>45390</v>
      </c>
      <c r="C869">
        <v>174</v>
      </c>
      <c r="D869">
        <v>9</v>
      </c>
      <c r="E869">
        <v>1</v>
      </c>
      <c r="F869">
        <v>4</v>
      </c>
      <c r="G869" t="s">
        <v>1044</v>
      </c>
      <c r="H869">
        <f>_xlfn.XLOOKUP(D869, productos!$A$2:$A$150, productos!$D$2:$D$150, "No Encontrado", 0)</f>
        <v>18.559999999999999</v>
      </c>
      <c r="I869">
        <f t="shared" si="13"/>
        <v>18.559999999999999</v>
      </c>
    </row>
    <row r="870" spans="1:9" x14ac:dyDescent="0.25">
      <c r="A870">
        <v>2885</v>
      </c>
      <c r="B870" s="1">
        <v>45390</v>
      </c>
      <c r="C870">
        <v>245</v>
      </c>
      <c r="D870">
        <v>24</v>
      </c>
      <c r="E870">
        <v>1</v>
      </c>
      <c r="F870">
        <v>2</v>
      </c>
      <c r="G870" t="s">
        <v>1044</v>
      </c>
      <c r="H870">
        <f>_xlfn.XLOOKUP(D870, productos!$A$2:$A$150, productos!$D$2:$D$150, "No Encontrado", 0)</f>
        <v>13.54</v>
      </c>
      <c r="I870">
        <f t="shared" si="13"/>
        <v>13.54</v>
      </c>
    </row>
    <row r="871" spans="1:9" x14ac:dyDescent="0.25">
      <c r="A871">
        <v>600</v>
      </c>
      <c r="B871" s="1">
        <v>45391</v>
      </c>
      <c r="C871">
        <v>142</v>
      </c>
      <c r="D871">
        <v>14</v>
      </c>
      <c r="E871">
        <v>2</v>
      </c>
      <c r="F871">
        <v>4</v>
      </c>
      <c r="G871" t="s">
        <v>1044</v>
      </c>
      <c r="H871">
        <f>_xlfn.XLOOKUP(D871, productos!$A$2:$A$150, productos!$D$2:$D$150, "No Encontrado", 0)</f>
        <v>12.36</v>
      </c>
      <c r="I871">
        <f t="shared" si="13"/>
        <v>24.72</v>
      </c>
    </row>
    <row r="872" spans="1:9" x14ac:dyDescent="0.25">
      <c r="A872">
        <v>962</v>
      </c>
      <c r="B872" s="1">
        <v>45391</v>
      </c>
      <c r="C872">
        <v>275</v>
      </c>
      <c r="D872">
        <v>8</v>
      </c>
      <c r="E872">
        <v>2</v>
      </c>
      <c r="F872">
        <v>4</v>
      </c>
      <c r="G872" t="s">
        <v>1044</v>
      </c>
      <c r="H872">
        <f>_xlfn.XLOOKUP(D872, productos!$A$2:$A$150, productos!$D$2:$D$150, "No Encontrado", 0)</f>
        <v>16.21</v>
      </c>
      <c r="I872">
        <f t="shared" si="13"/>
        <v>32.42</v>
      </c>
    </row>
    <row r="873" spans="1:9" x14ac:dyDescent="0.25">
      <c r="A873">
        <v>1331</v>
      </c>
      <c r="B873" s="1">
        <v>45391</v>
      </c>
      <c r="C873">
        <v>51</v>
      </c>
      <c r="D873">
        <v>11</v>
      </c>
      <c r="E873">
        <v>2</v>
      </c>
      <c r="F873">
        <v>4</v>
      </c>
      <c r="G873" t="s">
        <v>1044</v>
      </c>
      <c r="H873">
        <f>_xlfn.XLOOKUP(D873, productos!$A$2:$A$150, productos!$D$2:$D$150, "No Encontrado", 0)</f>
        <v>11.23</v>
      </c>
      <c r="I873">
        <f t="shared" si="13"/>
        <v>22.46</v>
      </c>
    </row>
    <row r="874" spans="1:9" x14ac:dyDescent="0.25">
      <c r="A874">
        <v>1474</v>
      </c>
      <c r="B874" s="1">
        <v>45391</v>
      </c>
      <c r="C874">
        <v>321</v>
      </c>
      <c r="D874">
        <v>9</v>
      </c>
      <c r="E874">
        <v>1</v>
      </c>
      <c r="F874">
        <v>4</v>
      </c>
      <c r="G874" t="s">
        <v>1044</v>
      </c>
      <c r="H874">
        <f>_xlfn.XLOOKUP(D874, productos!$A$2:$A$150, productos!$D$2:$D$150, "No Encontrado", 0)</f>
        <v>18.559999999999999</v>
      </c>
      <c r="I874">
        <f t="shared" si="13"/>
        <v>18.559999999999999</v>
      </c>
    </row>
    <row r="875" spans="1:9" x14ac:dyDescent="0.25">
      <c r="A875">
        <v>2341</v>
      </c>
      <c r="B875" s="1">
        <v>45391</v>
      </c>
      <c r="C875">
        <v>23</v>
      </c>
      <c r="D875">
        <v>10</v>
      </c>
      <c r="E875">
        <v>3</v>
      </c>
      <c r="F875">
        <v>5</v>
      </c>
      <c r="G875" t="s">
        <v>1044</v>
      </c>
      <c r="H875">
        <f>_xlfn.XLOOKUP(D875, productos!$A$2:$A$150, productos!$D$2:$D$150, "No Encontrado", 0)</f>
        <v>14.25</v>
      </c>
      <c r="I875">
        <f t="shared" si="13"/>
        <v>42.75</v>
      </c>
    </row>
    <row r="876" spans="1:9" x14ac:dyDescent="0.25">
      <c r="A876">
        <v>2716</v>
      </c>
      <c r="B876" s="1">
        <v>45391</v>
      </c>
      <c r="C876">
        <v>162</v>
      </c>
      <c r="D876">
        <v>15</v>
      </c>
      <c r="E876">
        <v>4</v>
      </c>
      <c r="F876">
        <v>3</v>
      </c>
      <c r="G876" t="s">
        <v>1044</v>
      </c>
      <c r="H876">
        <f>_xlfn.XLOOKUP(D876, productos!$A$2:$A$150, productos!$D$2:$D$150, "No Encontrado", 0)</f>
        <v>3.51</v>
      </c>
      <c r="I876">
        <f t="shared" si="13"/>
        <v>14.04</v>
      </c>
    </row>
    <row r="877" spans="1:9" x14ac:dyDescent="0.25">
      <c r="A877">
        <v>2920</v>
      </c>
      <c r="B877" s="1">
        <v>45391</v>
      </c>
      <c r="C877">
        <v>207</v>
      </c>
      <c r="D877">
        <v>35</v>
      </c>
      <c r="E877">
        <v>2</v>
      </c>
      <c r="F877">
        <v>3</v>
      </c>
      <c r="G877" t="s">
        <v>1044</v>
      </c>
      <c r="H877">
        <f>_xlfn.XLOOKUP(D877, productos!$A$2:$A$150, productos!$D$2:$D$150, "No Encontrado", 0)</f>
        <v>4.25</v>
      </c>
      <c r="I877">
        <f t="shared" si="13"/>
        <v>8.5</v>
      </c>
    </row>
    <row r="878" spans="1:9" x14ac:dyDescent="0.25">
      <c r="A878">
        <v>532</v>
      </c>
      <c r="B878" s="1">
        <v>45392</v>
      </c>
      <c r="C878">
        <v>233</v>
      </c>
      <c r="D878">
        <v>1</v>
      </c>
      <c r="E878">
        <v>3</v>
      </c>
      <c r="F878">
        <v>1</v>
      </c>
      <c r="G878" t="s">
        <v>1044</v>
      </c>
      <c r="H878">
        <f>_xlfn.XLOOKUP(D878, productos!$A$2:$A$150, productos!$D$2:$D$150, "No Encontrado", 0)</f>
        <v>12.24</v>
      </c>
      <c r="I878">
        <f t="shared" si="13"/>
        <v>36.72</v>
      </c>
    </row>
    <row r="879" spans="1:9" x14ac:dyDescent="0.25">
      <c r="A879">
        <v>1046</v>
      </c>
      <c r="B879" s="1">
        <v>45392</v>
      </c>
      <c r="C879">
        <v>288</v>
      </c>
      <c r="D879">
        <v>1</v>
      </c>
      <c r="E879">
        <v>5</v>
      </c>
      <c r="F879">
        <v>3</v>
      </c>
      <c r="G879" t="s">
        <v>1044</v>
      </c>
      <c r="H879">
        <f>_xlfn.XLOOKUP(D879, productos!$A$2:$A$150, productos!$D$2:$D$150, "No Encontrado", 0)</f>
        <v>12.24</v>
      </c>
      <c r="I879">
        <f t="shared" si="13"/>
        <v>61.2</v>
      </c>
    </row>
    <row r="880" spans="1:9" x14ac:dyDescent="0.25">
      <c r="A880">
        <v>1612</v>
      </c>
      <c r="B880" s="1">
        <v>45392</v>
      </c>
      <c r="C880">
        <v>68</v>
      </c>
      <c r="D880">
        <v>20</v>
      </c>
      <c r="E880">
        <v>4</v>
      </c>
      <c r="F880">
        <v>4</v>
      </c>
      <c r="G880" t="s">
        <v>1045</v>
      </c>
      <c r="H880">
        <f>_xlfn.XLOOKUP(D880, productos!$A$2:$A$150, productos!$D$2:$D$150, "No Encontrado", 0)</f>
        <v>4.25</v>
      </c>
      <c r="I880">
        <f t="shared" si="13"/>
        <v>17</v>
      </c>
    </row>
    <row r="881" spans="1:9" x14ac:dyDescent="0.25">
      <c r="A881">
        <v>1904</v>
      </c>
      <c r="B881" s="1">
        <v>45392</v>
      </c>
      <c r="C881">
        <v>231</v>
      </c>
      <c r="D881">
        <v>12</v>
      </c>
      <c r="E881">
        <v>4</v>
      </c>
      <c r="F881">
        <v>4</v>
      </c>
      <c r="G881" t="s">
        <v>1044</v>
      </c>
      <c r="H881">
        <f>_xlfn.XLOOKUP(D881, productos!$A$2:$A$150, productos!$D$2:$D$150, "No Encontrado", 0)</f>
        <v>8.1199999999999992</v>
      </c>
      <c r="I881">
        <f t="shared" si="13"/>
        <v>32.479999999999997</v>
      </c>
    </row>
    <row r="882" spans="1:9" x14ac:dyDescent="0.25">
      <c r="A882">
        <v>2490</v>
      </c>
      <c r="B882" s="1">
        <v>45392</v>
      </c>
      <c r="C882">
        <v>162</v>
      </c>
      <c r="D882">
        <v>26</v>
      </c>
      <c r="E882">
        <v>3</v>
      </c>
      <c r="F882">
        <v>5</v>
      </c>
      <c r="G882" t="s">
        <v>1044</v>
      </c>
      <c r="H882">
        <f>_xlfn.XLOOKUP(D882, productos!$A$2:$A$150, productos!$D$2:$D$150, "No Encontrado", 0)</f>
        <v>9.5399999999999991</v>
      </c>
      <c r="I882">
        <f t="shared" si="13"/>
        <v>28.619999999999997</v>
      </c>
    </row>
    <row r="883" spans="1:9" x14ac:dyDescent="0.25">
      <c r="A883">
        <v>2758</v>
      </c>
      <c r="B883" s="1">
        <v>45392</v>
      </c>
      <c r="C883">
        <v>273</v>
      </c>
      <c r="D883">
        <v>23</v>
      </c>
      <c r="E883">
        <v>2</v>
      </c>
      <c r="F883">
        <v>4</v>
      </c>
      <c r="G883" t="s">
        <v>1044</v>
      </c>
      <c r="H883">
        <f>_xlfn.XLOOKUP(D883, productos!$A$2:$A$150, productos!$D$2:$D$150, "No Encontrado", 0)</f>
        <v>8.23</v>
      </c>
      <c r="I883">
        <f t="shared" si="13"/>
        <v>16.46</v>
      </c>
    </row>
    <row r="884" spans="1:9" x14ac:dyDescent="0.25">
      <c r="A884">
        <v>2785</v>
      </c>
      <c r="B884" s="1">
        <v>45392</v>
      </c>
      <c r="C884">
        <v>191</v>
      </c>
      <c r="D884">
        <v>17</v>
      </c>
      <c r="E884">
        <v>6</v>
      </c>
      <c r="F884">
        <v>5</v>
      </c>
      <c r="G884" t="s">
        <v>1044</v>
      </c>
      <c r="H884">
        <f>_xlfn.XLOOKUP(D884, productos!$A$2:$A$150, productos!$D$2:$D$150, "No Encontrado", 0)</f>
        <v>6.54</v>
      </c>
      <c r="I884">
        <f t="shared" si="13"/>
        <v>39.24</v>
      </c>
    </row>
    <row r="885" spans="1:9" x14ac:dyDescent="0.25">
      <c r="A885">
        <v>354</v>
      </c>
      <c r="B885" s="1">
        <v>45393</v>
      </c>
      <c r="C885">
        <v>195</v>
      </c>
      <c r="D885">
        <v>29</v>
      </c>
      <c r="E885">
        <v>6</v>
      </c>
      <c r="F885">
        <v>1</v>
      </c>
      <c r="G885" t="s">
        <v>1044</v>
      </c>
      <c r="H885">
        <f>_xlfn.XLOOKUP(D885, productos!$A$2:$A$150, productos!$D$2:$D$150, "No Encontrado", 0)</f>
        <v>11.54</v>
      </c>
      <c r="I885">
        <f t="shared" si="13"/>
        <v>69.239999999999995</v>
      </c>
    </row>
    <row r="886" spans="1:9" x14ac:dyDescent="0.25">
      <c r="A886">
        <v>873</v>
      </c>
      <c r="B886" s="1">
        <v>45393</v>
      </c>
      <c r="C886">
        <v>72</v>
      </c>
      <c r="D886">
        <v>26</v>
      </c>
      <c r="E886">
        <v>1</v>
      </c>
      <c r="F886">
        <v>4</v>
      </c>
      <c r="G886" t="s">
        <v>1044</v>
      </c>
      <c r="H886">
        <f>_xlfn.XLOOKUP(D886, productos!$A$2:$A$150, productos!$D$2:$D$150, "No Encontrado", 0)</f>
        <v>9.5399999999999991</v>
      </c>
      <c r="I886">
        <f t="shared" si="13"/>
        <v>9.5399999999999991</v>
      </c>
    </row>
    <row r="887" spans="1:9" x14ac:dyDescent="0.25">
      <c r="A887">
        <v>1110</v>
      </c>
      <c r="B887" s="1">
        <v>45393</v>
      </c>
      <c r="C887">
        <v>284</v>
      </c>
      <c r="D887">
        <v>12</v>
      </c>
      <c r="E887">
        <v>2</v>
      </c>
      <c r="F887">
        <v>4</v>
      </c>
      <c r="G887" t="s">
        <v>1044</v>
      </c>
      <c r="H887">
        <f>_xlfn.XLOOKUP(D887, productos!$A$2:$A$150, productos!$D$2:$D$150, "No Encontrado", 0)</f>
        <v>8.1199999999999992</v>
      </c>
      <c r="I887">
        <f t="shared" si="13"/>
        <v>16.239999999999998</v>
      </c>
    </row>
    <row r="888" spans="1:9" x14ac:dyDescent="0.25">
      <c r="A888">
        <v>2469</v>
      </c>
      <c r="B888" s="1">
        <v>45393</v>
      </c>
      <c r="C888">
        <v>79</v>
      </c>
      <c r="D888">
        <v>36</v>
      </c>
      <c r="E888">
        <v>4</v>
      </c>
      <c r="F888">
        <v>5</v>
      </c>
      <c r="G888" t="s">
        <v>1045</v>
      </c>
      <c r="H888">
        <f>_xlfn.XLOOKUP(D888, productos!$A$2:$A$150, productos!$D$2:$D$150, "No Encontrado", 0)</f>
        <v>3.25</v>
      </c>
      <c r="I888">
        <f t="shared" si="13"/>
        <v>13</v>
      </c>
    </row>
    <row r="889" spans="1:9" x14ac:dyDescent="0.25">
      <c r="A889">
        <v>2561</v>
      </c>
      <c r="B889" s="1">
        <v>45393</v>
      </c>
      <c r="C889">
        <v>133</v>
      </c>
      <c r="D889">
        <v>19</v>
      </c>
      <c r="E889">
        <v>3</v>
      </c>
      <c r="F889">
        <v>1</v>
      </c>
      <c r="G889" t="s">
        <v>1044</v>
      </c>
      <c r="H889">
        <f>_xlfn.XLOOKUP(D889, productos!$A$2:$A$150, productos!$D$2:$D$150, "No Encontrado", 0)</f>
        <v>6.54</v>
      </c>
      <c r="I889">
        <f t="shared" si="13"/>
        <v>19.62</v>
      </c>
    </row>
    <row r="890" spans="1:9" x14ac:dyDescent="0.25">
      <c r="A890">
        <v>379</v>
      </c>
      <c r="B890" s="1">
        <v>45394</v>
      </c>
      <c r="C890">
        <v>67</v>
      </c>
      <c r="D890">
        <v>2</v>
      </c>
      <c r="E890">
        <v>4</v>
      </c>
      <c r="F890">
        <v>1</v>
      </c>
      <c r="G890" t="s">
        <v>1044</v>
      </c>
      <c r="H890">
        <f>_xlfn.XLOOKUP(D890, productos!$A$2:$A$150, productos!$D$2:$D$150, "No Encontrado", 0)</f>
        <v>5.21</v>
      </c>
      <c r="I890">
        <f t="shared" si="13"/>
        <v>20.84</v>
      </c>
    </row>
    <row r="891" spans="1:9" x14ac:dyDescent="0.25">
      <c r="A891">
        <v>831</v>
      </c>
      <c r="B891" s="1">
        <v>45394</v>
      </c>
      <c r="C891">
        <v>94</v>
      </c>
      <c r="D891">
        <v>19</v>
      </c>
      <c r="E891">
        <v>4</v>
      </c>
      <c r="F891">
        <v>3</v>
      </c>
      <c r="G891" t="s">
        <v>1045</v>
      </c>
      <c r="H891">
        <f>_xlfn.XLOOKUP(D891, productos!$A$2:$A$150, productos!$D$2:$D$150, "No Encontrado", 0)</f>
        <v>6.54</v>
      </c>
      <c r="I891">
        <f t="shared" si="13"/>
        <v>26.16</v>
      </c>
    </row>
    <row r="892" spans="1:9" x14ac:dyDescent="0.25">
      <c r="A892">
        <v>1143</v>
      </c>
      <c r="B892" s="1">
        <v>45394</v>
      </c>
      <c r="C892">
        <v>266</v>
      </c>
      <c r="D892">
        <v>20</v>
      </c>
      <c r="E892">
        <v>2</v>
      </c>
      <c r="F892">
        <v>5</v>
      </c>
      <c r="G892" t="s">
        <v>1044</v>
      </c>
      <c r="H892">
        <f>_xlfn.XLOOKUP(D892, productos!$A$2:$A$150, productos!$D$2:$D$150, "No Encontrado", 0)</f>
        <v>4.25</v>
      </c>
      <c r="I892">
        <f t="shared" si="13"/>
        <v>8.5</v>
      </c>
    </row>
    <row r="893" spans="1:9" x14ac:dyDescent="0.25">
      <c r="A893">
        <v>1149</v>
      </c>
      <c r="B893" s="1">
        <v>45394</v>
      </c>
      <c r="C893">
        <v>272</v>
      </c>
      <c r="D893">
        <v>24</v>
      </c>
      <c r="E893">
        <v>5</v>
      </c>
      <c r="F893">
        <v>5</v>
      </c>
      <c r="G893" t="s">
        <v>1044</v>
      </c>
      <c r="H893">
        <f>_xlfn.XLOOKUP(D893, productos!$A$2:$A$150, productos!$D$2:$D$150, "No Encontrado", 0)</f>
        <v>13.54</v>
      </c>
      <c r="I893">
        <f t="shared" si="13"/>
        <v>67.699999999999989</v>
      </c>
    </row>
    <row r="894" spans="1:9" x14ac:dyDescent="0.25">
      <c r="A894">
        <v>1157</v>
      </c>
      <c r="B894" s="1">
        <v>45394</v>
      </c>
      <c r="C894">
        <v>90</v>
      </c>
      <c r="D894">
        <v>11</v>
      </c>
      <c r="E894">
        <v>4</v>
      </c>
      <c r="F894">
        <v>3</v>
      </c>
      <c r="G894" t="s">
        <v>1044</v>
      </c>
      <c r="H894">
        <f>_xlfn.XLOOKUP(D894, productos!$A$2:$A$150, productos!$D$2:$D$150, "No Encontrado", 0)</f>
        <v>11.23</v>
      </c>
      <c r="I894">
        <f t="shared" si="13"/>
        <v>44.92</v>
      </c>
    </row>
    <row r="895" spans="1:9" x14ac:dyDescent="0.25">
      <c r="A895">
        <v>1299</v>
      </c>
      <c r="B895" s="1">
        <v>45394</v>
      </c>
      <c r="C895">
        <v>223</v>
      </c>
      <c r="D895">
        <v>16</v>
      </c>
      <c r="E895">
        <v>3</v>
      </c>
      <c r="F895">
        <v>3</v>
      </c>
      <c r="G895" t="s">
        <v>1044</v>
      </c>
      <c r="H895">
        <f>_xlfn.XLOOKUP(D895, productos!$A$2:$A$150, productos!$D$2:$D$150, "No Encontrado", 0)</f>
        <v>15.23</v>
      </c>
      <c r="I895">
        <f t="shared" si="13"/>
        <v>45.69</v>
      </c>
    </row>
    <row r="896" spans="1:9" x14ac:dyDescent="0.25">
      <c r="A896">
        <v>1647</v>
      </c>
      <c r="B896" s="1">
        <v>45394</v>
      </c>
      <c r="C896">
        <v>74</v>
      </c>
      <c r="D896">
        <v>9</v>
      </c>
      <c r="E896">
        <v>4</v>
      </c>
      <c r="F896">
        <v>4</v>
      </c>
      <c r="G896" t="s">
        <v>1044</v>
      </c>
      <c r="H896">
        <f>_xlfn.XLOOKUP(D896, productos!$A$2:$A$150, productos!$D$2:$D$150, "No Encontrado", 0)</f>
        <v>18.559999999999999</v>
      </c>
      <c r="I896">
        <f t="shared" si="13"/>
        <v>74.239999999999995</v>
      </c>
    </row>
    <row r="897" spans="1:9" x14ac:dyDescent="0.25">
      <c r="A897">
        <v>1698</v>
      </c>
      <c r="B897" s="1">
        <v>45394</v>
      </c>
      <c r="C897">
        <v>272</v>
      </c>
      <c r="D897">
        <v>3</v>
      </c>
      <c r="E897">
        <v>5</v>
      </c>
      <c r="F897">
        <v>5</v>
      </c>
      <c r="G897" t="s">
        <v>1044</v>
      </c>
      <c r="H897">
        <f>_xlfn.XLOOKUP(D897, productos!$A$2:$A$150, productos!$D$2:$D$150, "No Encontrado", 0)</f>
        <v>17.23</v>
      </c>
      <c r="I897">
        <f t="shared" si="13"/>
        <v>86.15</v>
      </c>
    </row>
    <row r="898" spans="1:9" x14ac:dyDescent="0.25">
      <c r="A898">
        <v>1915</v>
      </c>
      <c r="B898" s="1">
        <v>45394</v>
      </c>
      <c r="C898">
        <v>21</v>
      </c>
      <c r="D898">
        <v>27</v>
      </c>
      <c r="E898">
        <v>4</v>
      </c>
      <c r="F898">
        <v>4</v>
      </c>
      <c r="G898" t="s">
        <v>1044</v>
      </c>
      <c r="H898">
        <f>_xlfn.XLOOKUP(D898, productos!$A$2:$A$150, productos!$D$2:$D$150, "No Encontrado", 0)</f>
        <v>6.21</v>
      </c>
      <c r="I898">
        <f t="shared" si="13"/>
        <v>24.84</v>
      </c>
    </row>
    <row r="899" spans="1:9" x14ac:dyDescent="0.25">
      <c r="A899">
        <v>2137</v>
      </c>
      <c r="B899" s="1">
        <v>45394</v>
      </c>
      <c r="C899">
        <v>202</v>
      </c>
      <c r="D899">
        <v>5</v>
      </c>
      <c r="E899">
        <v>1</v>
      </c>
      <c r="F899">
        <v>4</v>
      </c>
      <c r="G899" t="s">
        <v>1044</v>
      </c>
      <c r="H899">
        <f>_xlfn.XLOOKUP(D899, productos!$A$2:$A$150, productos!$D$2:$D$150, "No Encontrado", 0)</f>
        <v>5.65</v>
      </c>
      <c r="I899">
        <f t="shared" ref="I899:I962" si="14">E899*H899</f>
        <v>5.65</v>
      </c>
    </row>
    <row r="900" spans="1:9" x14ac:dyDescent="0.25">
      <c r="A900">
        <v>2229</v>
      </c>
      <c r="B900" s="1">
        <v>45394</v>
      </c>
      <c r="C900">
        <v>312</v>
      </c>
      <c r="D900">
        <v>27</v>
      </c>
      <c r="E900">
        <v>2</v>
      </c>
      <c r="F900">
        <v>1</v>
      </c>
      <c r="G900" t="s">
        <v>1044</v>
      </c>
      <c r="H900">
        <f>_xlfn.XLOOKUP(D900, productos!$A$2:$A$150, productos!$D$2:$D$150, "No Encontrado", 0)</f>
        <v>6.21</v>
      </c>
      <c r="I900">
        <f t="shared" si="14"/>
        <v>12.42</v>
      </c>
    </row>
    <row r="901" spans="1:9" x14ac:dyDescent="0.25">
      <c r="A901">
        <v>2306</v>
      </c>
      <c r="B901" s="1">
        <v>45394</v>
      </c>
      <c r="C901">
        <v>242</v>
      </c>
      <c r="D901">
        <v>2</v>
      </c>
      <c r="E901">
        <v>6</v>
      </c>
      <c r="F901">
        <v>3</v>
      </c>
      <c r="G901" t="s">
        <v>1044</v>
      </c>
      <c r="H901">
        <f>_xlfn.XLOOKUP(D901, productos!$A$2:$A$150, productos!$D$2:$D$150, "No Encontrado", 0)</f>
        <v>5.21</v>
      </c>
      <c r="I901">
        <f t="shared" si="14"/>
        <v>31.259999999999998</v>
      </c>
    </row>
    <row r="902" spans="1:9" x14ac:dyDescent="0.25">
      <c r="A902">
        <v>2497</v>
      </c>
      <c r="B902" s="1">
        <v>45394</v>
      </c>
      <c r="C902">
        <v>105</v>
      </c>
      <c r="D902">
        <v>26</v>
      </c>
      <c r="E902">
        <v>5</v>
      </c>
      <c r="F902">
        <v>4</v>
      </c>
      <c r="G902" t="s">
        <v>1044</v>
      </c>
      <c r="H902">
        <f>_xlfn.XLOOKUP(D902, productos!$A$2:$A$150, productos!$D$2:$D$150, "No Encontrado", 0)</f>
        <v>9.5399999999999991</v>
      </c>
      <c r="I902">
        <f t="shared" si="14"/>
        <v>47.699999999999996</v>
      </c>
    </row>
    <row r="903" spans="1:9" x14ac:dyDescent="0.25">
      <c r="A903">
        <v>2581</v>
      </c>
      <c r="B903" s="1">
        <v>45394</v>
      </c>
      <c r="C903">
        <v>260</v>
      </c>
      <c r="D903">
        <v>26</v>
      </c>
      <c r="E903">
        <v>2</v>
      </c>
      <c r="F903">
        <v>4</v>
      </c>
      <c r="G903" t="s">
        <v>1044</v>
      </c>
      <c r="H903">
        <f>_xlfn.XLOOKUP(D903, productos!$A$2:$A$150, productos!$D$2:$D$150, "No Encontrado", 0)</f>
        <v>9.5399999999999991</v>
      </c>
      <c r="I903">
        <f t="shared" si="14"/>
        <v>19.079999999999998</v>
      </c>
    </row>
    <row r="904" spans="1:9" x14ac:dyDescent="0.25">
      <c r="A904">
        <v>328</v>
      </c>
      <c r="B904" s="1">
        <v>45395</v>
      </c>
      <c r="C904">
        <v>167</v>
      </c>
      <c r="D904">
        <v>23</v>
      </c>
      <c r="E904">
        <v>3</v>
      </c>
      <c r="F904">
        <v>3</v>
      </c>
      <c r="G904" t="s">
        <v>1045</v>
      </c>
      <c r="H904">
        <f>_xlfn.XLOOKUP(D904, productos!$A$2:$A$150, productos!$D$2:$D$150, "No Encontrado", 0)</f>
        <v>8.23</v>
      </c>
      <c r="I904">
        <f t="shared" si="14"/>
        <v>24.69</v>
      </c>
    </row>
    <row r="905" spans="1:9" x14ac:dyDescent="0.25">
      <c r="A905">
        <v>788</v>
      </c>
      <c r="B905" s="1">
        <v>45395</v>
      </c>
      <c r="C905">
        <v>52</v>
      </c>
      <c r="D905">
        <v>33</v>
      </c>
      <c r="E905">
        <v>1</v>
      </c>
      <c r="F905">
        <v>2</v>
      </c>
      <c r="G905" t="s">
        <v>1044</v>
      </c>
      <c r="H905">
        <f>_xlfn.XLOOKUP(D905, productos!$A$2:$A$150, productos!$D$2:$D$150, "No Encontrado", 0)</f>
        <v>8.5399999999999991</v>
      </c>
      <c r="I905">
        <f t="shared" si="14"/>
        <v>8.5399999999999991</v>
      </c>
    </row>
    <row r="906" spans="1:9" x14ac:dyDescent="0.25">
      <c r="A906">
        <v>1574</v>
      </c>
      <c r="B906" s="1">
        <v>45395</v>
      </c>
      <c r="C906">
        <v>204</v>
      </c>
      <c r="D906">
        <v>20</v>
      </c>
      <c r="E906">
        <v>5</v>
      </c>
      <c r="F906">
        <v>4</v>
      </c>
      <c r="G906" t="s">
        <v>1044</v>
      </c>
      <c r="H906">
        <f>_xlfn.XLOOKUP(D906, productos!$A$2:$A$150, productos!$D$2:$D$150, "No Encontrado", 0)</f>
        <v>4.25</v>
      </c>
      <c r="I906">
        <f t="shared" si="14"/>
        <v>21.25</v>
      </c>
    </row>
    <row r="907" spans="1:9" x14ac:dyDescent="0.25">
      <c r="A907">
        <v>1899</v>
      </c>
      <c r="B907" s="1">
        <v>45395</v>
      </c>
      <c r="C907">
        <v>176</v>
      </c>
      <c r="D907">
        <v>22</v>
      </c>
      <c r="E907">
        <v>2</v>
      </c>
      <c r="F907">
        <v>5</v>
      </c>
      <c r="G907" t="s">
        <v>1044</v>
      </c>
      <c r="H907">
        <f>_xlfn.XLOOKUP(D907, productos!$A$2:$A$150, productos!$D$2:$D$150, "No Encontrado", 0)</f>
        <v>4.21</v>
      </c>
      <c r="I907">
        <f t="shared" si="14"/>
        <v>8.42</v>
      </c>
    </row>
    <row r="908" spans="1:9" x14ac:dyDescent="0.25">
      <c r="A908">
        <v>2138</v>
      </c>
      <c r="B908" s="1">
        <v>45395</v>
      </c>
      <c r="C908">
        <v>281</v>
      </c>
      <c r="D908">
        <v>7</v>
      </c>
      <c r="E908">
        <v>5</v>
      </c>
      <c r="F908">
        <v>2</v>
      </c>
      <c r="G908" t="s">
        <v>1044</v>
      </c>
      <c r="H908">
        <f>_xlfn.XLOOKUP(D908, productos!$A$2:$A$150, productos!$D$2:$D$150, "No Encontrado", 0)</f>
        <v>11.25</v>
      </c>
      <c r="I908">
        <f t="shared" si="14"/>
        <v>56.25</v>
      </c>
    </row>
    <row r="909" spans="1:9" x14ac:dyDescent="0.25">
      <c r="A909">
        <v>2159</v>
      </c>
      <c r="B909" s="1">
        <v>45395</v>
      </c>
      <c r="C909">
        <v>288</v>
      </c>
      <c r="D909">
        <v>19</v>
      </c>
      <c r="E909">
        <v>3</v>
      </c>
      <c r="F909">
        <v>1</v>
      </c>
      <c r="G909" t="s">
        <v>1044</v>
      </c>
      <c r="H909">
        <f>_xlfn.XLOOKUP(D909, productos!$A$2:$A$150, productos!$D$2:$D$150, "No Encontrado", 0)</f>
        <v>6.54</v>
      </c>
      <c r="I909">
        <f t="shared" si="14"/>
        <v>19.62</v>
      </c>
    </row>
    <row r="910" spans="1:9" x14ac:dyDescent="0.25">
      <c r="A910">
        <v>2395</v>
      </c>
      <c r="B910" s="1">
        <v>45395</v>
      </c>
      <c r="C910">
        <v>248</v>
      </c>
      <c r="D910">
        <v>12</v>
      </c>
      <c r="E910">
        <v>5</v>
      </c>
      <c r="F910">
        <v>3</v>
      </c>
      <c r="G910" t="s">
        <v>1044</v>
      </c>
      <c r="H910">
        <f>_xlfn.XLOOKUP(D910, productos!$A$2:$A$150, productos!$D$2:$D$150, "No Encontrado", 0)</f>
        <v>8.1199999999999992</v>
      </c>
      <c r="I910">
        <f t="shared" si="14"/>
        <v>40.599999999999994</v>
      </c>
    </row>
    <row r="911" spans="1:9" x14ac:dyDescent="0.25">
      <c r="A911">
        <v>2403</v>
      </c>
      <c r="B911" s="1">
        <v>45395</v>
      </c>
      <c r="C911">
        <v>15</v>
      </c>
      <c r="D911">
        <v>8</v>
      </c>
      <c r="E911">
        <v>2</v>
      </c>
      <c r="F911">
        <v>4</v>
      </c>
      <c r="G911" t="s">
        <v>1044</v>
      </c>
      <c r="H911">
        <f>_xlfn.XLOOKUP(D911, productos!$A$2:$A$150, productos!$D$2:$D$150, "No Encontrado", 0)</f>
        <v>16.21</v>
      </c>
      <c r="I911">
        <f t="shared" si="14"/>
        <v>32.42</v>
      </c>
    </row>
    <row r="912" spans="1:9" x14ac:dyDescent="0.25">
      <c r="A912">
        <v>2458</v>
      </c>
      <c r="B912" s="1">
        <v>45395</v>
      </c>
      <c r="C912">
        <v>105</v>
      </c>
      <c r="D912">
        <v>24</v>
      </c>
      <c r="E912">
        <v>1</v>
      </c>
      <c r="F912">
        <v>4</v>
      </c>
      <c r="G912" t="s">
        <v>1045</v>
      </c>
      <c r="H912">
        <f>_xlfn.XLOOKUP(D912, productos!$A$2:$A$150, productos!$D$2:$D$150, "No Encontrado", 0)</f>
        <v>13.54</v>
      </c>
      <c r="I912">
        <f t="shared" si="14"/>
        <v>13.54</v>
      </c>
    </row>
    <row r="913" spans="1:9" x14ac:dyDescent="0.25">
      <c r="A913">
        <v>340</v>
      </c>
      <c r="B913" s="1">
        <v>45396</v>
      </c>
      <c r="C913">
        <v>271</v>
      </c>
      <c r="D913">
        <v>19</v>
      </c>
      <c r="E913">
        <v>2</v>
      </c>
      <c r="F913">
        <v>3</v>
      </c>
      <c r="G913" t="s">
        <v>1045</v>
      </c>
      <c r="H913">
        <f>_xlfn.XLOOKUP(D913, productos!$A$2:$A$150, productos!$D$2:$D$150, "No Encontrado", 0)</f>
        <v>6.54</v>
      </c>
      <c r="I913">
        <f t="shared" si="14"/>
        <v>13.08</v>
      </c>
    </row>
    <row r="914" spans="1:9" x14ac:dyDescent="0.25">
      <c r="A914">
        <v>371</v>
      </c>
      <c r="B914" s="1">
        <v>45396</v>
      </c>
      <c r="C914">
        <v>105</v>
      </c>
      <c r="D914">
        <v>5</v>
      </c>
      <c r="E914">
        <v>2</v>
      </c>
      <c r="F914">
        <v>4</v>
      </c>
      <c r="G914" t="s">
        <v>1044</v>
      </c>
      <c r="H914">
        <f>_xlfn.XLOOKUP(D914, productos!$A$2:$A$150, productos!$D$2:$D$150, "No Encontrado", 0)</f>
        <v>5.65</v>
      </c>
      <c r="I914">
        <f t="shared" si="14"/>
        <v>11.3</v>
      </c>
    </row>
    <row r="915" spans="1:9" x14ac:dyDescent="0.25">
      <c r="A915">
        <v>708</v>
      </c>
      <c r="B915" s="1">
        <v>45396</v>
      </c>
      <c r="C915">
        <v>164</v>
      </c>
      <c r="D915">
        <v>17</v>
      </c>
      <c r="E915">
        <v>3</v>
      </c>
      <c r="F915">
        <v>1</v>
      </c>
      <c r="G915" t="s">
        <v>1044</v>
      </c>
      <c r="H915">
        <f>_xlfn.XLOOKUP(D915, productos!$A$2:$A$150, productos!$D$2:$D$150, "No Encontrado", 0)</f>
        <v>6.54</v>
      </c>
      <c r="I915">
        <f t="shared" si="14"/>
        <v>19.62</v>
      </c>
    </row>
    <row r="916" spans="1:9" x14ac:dyDescent="0.25">
      <c r="A916">
        <v>864</v>
      </c>
      <c r="B916" s="1">
        <v>45396</v>
      </c>
      <c r="C916">
        <v>190</v>
      </c>
      <c r="D916">
        <v>21</v>
      </c>
      <c r="E916">
        <v>5</v>
      </c>
      <c r="F916">
        <v>4</v>
      </c>
      <c r="G916" t="s">
        <v>1044</v>
      </c>
      <c r="H916">
        <f>_xlfn.XLOOKUP(D916, productos!$A$2:$A$150, productos!$D$2:$D$150, "No Encontrado", 0)</f>
        <v>3.25</v>
      </c>
      <c r="I916">
        <f t="shared" si="14"/>
        <v>16.25</v>
      </c>
    </row>
    <row r="917" spans="1:9" x14ac:dyDescent="0.25">
      <c r="A917">
        <v>1868</v>
      </c>
      <c r="B917" s="1">
        <v>45396</v>
      </c>
      <c r="C917">
        <v>234</v>
      </c>
      <c r="D917">
        <v>19</v>
      </c>
      <c r="E917">
        <v>6</v>
      </c>
      <c r="F917">
        <v>1</v>
      </c>
      <c r="G917" t="s">
        <v>1045</v>
      </c>
      <c r="H917">
        <f>_xlfn.XLOOKUP(D917, productos!$A$2:$A$150, productos!$D$2:$D$150, "No Encontrado", 0)</f>
        <v>6.54</v>
      </c>
      <c r="I917">
        <f t="shared" si="14"/>
        <v>39.24</v>
      </c>
    </row>
    <row r="918" spans="1:9" x14ac:dyDescent="0.25">
      <c r="A918">
        <v>1922</v>
      </c>
      <c r="B918" s="1">
        <v>45396</v>
      </c>
      <c r="C918">
        <v>269</v>
      </c>
      <c r="D918">
        <v>31</v>
      </c>
      <c r="E918">
        <v>1</v>
      </c>
      <c r="F918">
        <v>5</v>
      </c>
      <c r="G918" t="s">
        <v>1045</v>
      </c>
      <c r="H918">
        <f>_xlfn.XLOOKUP(D918, productos!$A$2:$A$150, productos!$D$2:$D$150, "No Encontrado", 0)</f>
        <v>5.24</v>
      </c>
      <c r="I918">
        <f t="shared" si="14"/>
        <v>5.24</v>
      </c>
    </row>
    <row r="919" spans="1:9" x14ac:dyDescent="0.25">
      <c r="A919">
        <v>2051</v>
      </c>
      <c r="B919" s="1">
        <v>45396</v>
      </c>
      <c r="C919">
        <v>165</v>
      </c>
      <c r="D919">
        <v>30</v>
      </c>
      <c r="E919">
        <v>2</v>
      </c>
      <c r="F919">
        <v>5</v>
      </c>
      <c r="G919" t="s">
        <v>1044</v>
      </c>
      <c r="H919">
        <f>_xlfn.XLOOKUP(D919, productos!$A$2:$A$150, productos!$D$2:$D$150, "No Encontrado", 0)</f>
        <v>13.54</v>
      </c>
      <c r="I919">
        <f t="shared" si="14"/>
        <v>27.08</v>
      </c>
    </row>
    <row r="920" spans="1:9" x14ac:dyDescent="0.25">
      <c r="A920">
        <v>2838</v>
      </c>
      <c r="B920" s="1">
        <v>45396</v>
      </c>
      <c r="C920">
        <v>41</v>
      </c>
      <c r="D920">
        <v>28</v>
      </c>
      <c r="E920">
        <v>2</v>
      </c>
      <c r="F920">
        <v>3</v>
      </c>
      <c r="G920" t="s">
        <v>1044</v>
      </c>
      <c r="H920">
        <f>_xlfn.XLOOKUP(D920, productos!$A$2:$A$150, productos!$D$2:$D$150, "No Encontrado", 0)</f>
        <v>9.4499999999999993</v>
      </c>
      <c r="I920">
        <f t="shared" si="14"/>
        <v>18.899999999999999</v>
      </c>
    </row>
    <row r="921" spans="1:9" x14ac:dyDescent="0.25">
      <c r="A921">
        <v>361</v>
      </c>
      <c r="B921" s="1">
        <v>45397</v>
      </c>
      <c r="C921">
        <v>226</v>
      </c>
      <c r="D921">
        <v>20</v>
      </c>
      <c r="E921">
        <v>6</v>
      </c>
      <c r="F921">
        <v>5</v>
      </c>
      <c r="G921" t="s">
        <v>1044</v>
      </c>
      <c r="H921">
        <f>_xlfn.XLOOKUP(D921, productos!$A$2:$A$150, productos!$D$2:$D$150, "No Encontrado", 0)</f>
        <v>4.25</v>
      </c>
      <c r="I921">
        <f t="shared" si="14"/>
        <v>25.5</v>
      </c>
    </row>
    <row r="922" spans="1:9" x14ac:dyDescent="0.25">
      <c r="A922">
        <v>431</v>
      </c>
      <c r="B922" s="1">
        <v>45397</v>
      </c>
      <c r="C922">
        <v>231</v>
      </c>
      <c r="D922">
        <v>33</v>
      </c>
      <c r="E922">
        <v>1</v>
      </c>
      <c r="F922">
        <v>2</v>
      </c>
      <c r="G922" t="s">
        <v>1044</v>
      </c>
      <c r="H922">
        <f>_xlfn.XLOOKUP(D922, productos!$A$2:$A$150, productos!$D$2:$D$150, "No Encontrado", 0)</f>
        <v>8.5399999999999991</v>
      </c>
      <c r="I922">
        <f t="shared" si="14"/>
        <v>8.5399999999999991</v>
      </c>
    </row>
    <row r="923" spans="1:9" x14ac:dyDescent="0.25">
      <c r="A923">
        <v>651</v>
      </c>
      <c r="B923" s="1">
        <v>45397</v>
      </c>
      <c r="C923">
        <v>150</v>
      </c>
      <c r="D923">
        <v>8</v>
      </c>
      <c r="E923">
        <v>6</v>
      </c>
      <c r="F923">
        <v>3</v>
      </c>
      <c r="G923" t="s">
        <v>1044</v>
      </c>
      <c r="H923">
        <f>_xlfn.XLOOKUP(D923, productos!$A$2:$A$150, productos!$D$2:$D$150, "No Encontrado", 0)</f>
        <v>16.21</v>
      </c>
      <c r="I923">
        <f t="shared" si="14"/>
        <v>97.26</v>
      </c>
    </row>
    <row r="924" spans="1:9" x14ac:dyDescent="0.25">
      <c r="A924">
        <v>1001</v>
      </c>
      <c r="B924" s="1">
        <v>45397</v>
      </c>
      <c r="C924">
        <v>325</v>
      </c>
      <c r="D924">
        <v>4</v>
      </c>
      <c r="E924">
        <v>4</v>
      </c>
      <c r="F924">
        <v>4</v>
      </c>
      <c r="G924" t="s">
        <v>1044</v>
      </c>
      <c r="H924">
        <f>_xlfn.XLOOKUP(D924, productos!$A$2:$A$150, productos!$D$2:$D$150, "No Encontrado", 0)</f>
        <v>19.23</v>
      </c>
      <c r="I924">
        <f t="shared" si="14"/>
        <v>76.92</v>
      </c>
    </row>
    <row r="925" spans="1:9" x14ac:dyDescent="0.25">
      <c r="A925">
        <v>1286</v>
      </c>
      <c r="B925" s="1">
        <v>45397</v>
      </c>
      <c r="C925">
        <v>110</v>
      </c>
      <c r="D925">
        <v>21</v>
      </c>
      <c r="E925">
        <v>5</v>
      </c>
      <c r="F925">
        <v>5</v>
      </c>
      <c r="G925" t="s">
        <v>1045</v>
      </c>
      <c r="H925">
        <f>_xlfn.XLOOKUP(D925, productos!$A$2:$A$150, productos!$D$2:$D$150, "No Encontrado", 0)</f>
        <v>3.25</v>
      </c>
      <c r="I925">
        <f t="shared" si="14"/>
        <v>16.25</v>
      </c>
    </row>
    <row r="926" spans="1:9" x14ac:dyDescent="0.25">
      <c r="A926">
        <v>1498</v>
      </c>
      <c r="B926" s="1">
        <v>45397</v>
      </c>
      <c r="C926">
        <v>216</v>
      </c>
      <c r="D926">
        <v>37</v>
      </c>
      <c r="E926">
        <v>4</v>
      </c>
      <c r="F926">
        <v>3</v>
      </c>
      <c r="G926" t="s">
        <v>1044</v>
      </c>
      <c r="H926">
        <f>_xlfn.XLOOKUP(D926, productos!$A$2:$A$150, productos!$D$2:$D$150, "No Encontrado", 0)</f>
        <v>3.65</v>
      </c>
      <c r="I926">
        <f t="shared" si="14"/>
        <v>14.6</v>
      </c>
    </row>
    <row r="927" spans="1:9" x14ac:dyDescent="0.25">
      <c r="A927">
        <v>2949</v>
      </c>
      <c r="B927" s="1">
        <v>45397</v>
      </c>
      <c r="C927">
        <v>24</v>
      </c>
      <c r="D927">
        <v>28</v>
      </c>
      <c r="E927">
        <v>6</v>
      </c>
      <c r="F927">
        <v>4</v>
      </c>
      <c r="G927" t="s">
        <v>1044</v>
      </c>
      <c r="H927">
        <f>_xlfn.XLOOKUP(D927, productos!$A$2:$A$150, productos!$D$2:$D$150, "No Encontrado", 0)</f>
        <v>9.4499999999999993</v>
      </c>
      <c r="I927">
        <f t="shared" si="14"/>
        <v>56.699999999999996</v>
      </c>
    </row>
    <row r="928" spans="1:9" x14ac:dyDescent="0.25">
      <c r="A928">
        <v>399</v>
      </c>
      <c r="B928" s="1">
        <v>45398</v>
      </c>
      <c r="C928">
        <v>115</v>
      </c>
      <c r="D928">
        <v>38</v>
      </c>
      <c r="E928">
        <v>4</v>
      </c>
      <c r="F928">
        <v>4</v>
      </c>
      <c r="G928" t="s">
        <v>1044</v>
      </c>
      <c r="H928">
        <f>_xlfn.XLOOKUP(D928, productos!$A$2:$A$150, productos!$D$2:$D$150, "No Encontrado", 0)</f>
        <v>6.21</v>
      </c>
      <c r="I928">
        <f t="shared" si="14"/>
        <v>24.84</v>
      </c>
    </row>
    <row r="929" spans="1:9" x14ac:dyDescent="0.25">
      <c r="A929">
        <v>807</v>
      </c>
      <c r="B929" s="1">
        <v>45398</v>
      </c>
      <c r="C929">
        <v>181</v>
      </c>
      <c r="D929">
        <v>1</v>
      </c>
      <c r="E929">
        <v>5</v>
      </c>
      <c r="F929">
        <v>3</v>
      </c>
      <c r="G929" t="s">
        <v>1044</v>
      </c>
      <c r="H929">
        <f>_xlfn.XLOOKUP(D929, productos!$A$2:$A$150, productos!$D$2:$D$150, "No Encontrado", 0)</f>
        <v>12.24</v>
      </c>
      <c r="I929">
        <f t="shared" si="14"/>
        <v>61.2</v>
      </c>
    </row>
    <row r="930" spans="1:9" x14ac:dyDescent="0.25">
      <c r="A930">
        <v>976</v>
      </c>
      <c r="B930" s="1">
        <v>45398</v>
      </c>
      <c r="C930">
        <v>110</v>
      </c>
      <c r="D930">
        <v>31</v>
      </c>
      <c r="E930">
        <v>2</v>
      </c>
      <c r="F930">
        <v>4</v>
      </c>
      <c r="G930" t="s">
        <v>1044</v>
      </c>
      <c r="H930">
        <f>_xlfn.XLOOKUP(D930, productos!$A$2:$A$150, productos!$D$2:$D$150, "No Encontrado", 0)</f>
        <v>5.24</v>
      </c>
      <c r="I930">
        <f t="shared" si="14"/>
        <v>10.48</v>
      </c>
    </row>
    <row r="931" spans="1:9" x14ac:dyDescent="0.25">
      <c r="A931">
        <v>1258</v>
      </c>
      <c r="B931" s="1">
        <v>45398</v>
      </c>
      <c r="C931">
        <v>48</v>
      </c>
      <c r="D931">
        <v>28</v>
      </c>
      <c r="E931">
        <v>4</v>
      </c>
      <c r="F931">
        <v>1</v>
      </c>
      <c r="G931" t="s">
        <v>1044</v>
      </c>
      <c r="H931">
        <f>_xlfn.XLOOKUP(D931, productos!$A$2:$A$150, productos!$D$2:$D$150, "No Encontrado", 0)</f>
        <v>9.4499999999999993</v>
      </c>
      <c r="I931">
        <f t="shared" si="14"/>
        <v>37.799999999999997</v>
      </c>
    </row>
    <row r="932" spans="1:9" x14ac:dyDescent="0.25">
      <c r="A932">
        <v>1307</v>
      </c>
      <c r="B932" s="1">
        <v>45398</v>
      </c>
      <c r="C932">
        <v>46</v>
      </c>
      <c r="D932">
        <v>1</v>
      </c>
      <c r="E932">
        <v>3</v>
      </c>
      <c r="F932">
        <v>5</v>
      </c>
      <c r="G932" t="s">
        <v>1044</v>
      </c>
      <c r="H932">
        <f>_xlfn.XLOOKUP(D932, productos!$A$2:$A$150, productos!$D$2:$D$150, "No Encontrado", 0)</f>
        <v>12.24</v>
      </c>
      <c r="I932">
        <f t="shared" si="14"/>
        <v>36.72</v>
      </c>
    </row>
    <row r="933" spans="1:9" x14ac:dyDescent="0.25">
      <c r="A933">
        <v>1319</v>
      </c>
      <c r="B933" s="1">
        <v>45398</v>
      </c>
      <c r="C933">
        <v>28</v>
      </c>
      <c r="D933">
        <v>3</v>
      </c>
      <c r="E933">
        <v>1</v>
      </c>
      <c r="F933">
        <v>4</v>
      </c>
      <c r="G933" t="s">
        <v>1044</v>
      </c>
      <c r="H933">
        <f>_xlfn.XLOOKUP(D933, productos!$A$2:$A$150, productos!$D$2:$D$150, "No Encontrado", 0)</f>
        <v>17.23</v>
      </c>
      <c r="I933">
        <f t="shared" si="14"/>
        <v>17.23</v>
      </c>
    </row>
    <row r="934" spans="1:9" x14ac:dyDescent="0.25">
      <c r="A934">
        <v>1717</v>
      </c>
      <c r="B934" s="1">
        <v>45398</v>
      </c>
      <c r="C934">
        <v>171</v>
      </c>
      <c r="D934">
        <v>33</v>
      </c>
      <c r="E934">
        <v>5</v>
      </c>
      <c r="F934">
        <v>5</v>
      </c>
      <c r="G934" t="s">
        <v>1044</v>
      </c>
      <c r="H934">
        <f>_xlfn.XLOOKUP(D934, productos!$A$2:$A$150, productos!$D$2:$D$150, "No Encontrado", 0)</f>
        <v>8.5399999999999991</v>
      </c>
      <c r="I934">
        <f t="shared" si="14"/>
        <v>42.699999999999996</v>
      </c>
    </row>
    <row r="935" spans="1:9" x14ac:dyDescent="0.25">
      <c r="A935">
        <v>2162</v>
      </c>
      <c r="B935" s="1">
        <v>45398</v>
      </c>
      <c r="C935">
        <v>304</v>
      </c>
      <c r="D935">
        <v>28</v>
      </c>
      <c r="E935">
        <v>4</v>
      </c>
      <c r="F935">
        <v>4</v>
      </c>
      <c r="G935" t="s">
        <v>1045</v>
      </c>
      <c r="H935">
        <f>_xlfn.XLOOKUP(D935, productos!$A$2:$A$150, productos!$D$2:$D$150, "No Encontrado", 0)</f>
        <v>9.4499999999999993</v>
      </c>
      <c r="I935">
        <f t="shared" si="14"/>
        <v>37.799999999999997</v>
      </c>
    </row>
    <row r="936" spans="1:9" x14ac:dyDescent="0.25">
      <c r="A936">
        <v>2407</v>
      </c>
      <c r="B936" s="1">
        <v>45398</v>
      </c>
      <c r="C936">
        <v>209</v>
      </c>
      <c r="D936">
        <v>34</v>
      </c>
      <c r="E936">
        <v>5</v>
      </c>
      <c r="F936">
        <v>3</v>
      </c>
      <c r="G936" t="s">
        <v>1044</v>
      </c>
      <c r="H936">
        <f>_xlfn.XLOOKUP(D936, productos!$A$2:$A$150, productos!$D$2:$D$150, "No Encontrado", 0)</f>
        <v>5.45</v>
      </c>
      <c r="I936">
        <f t="shared" si="14"/>
        <v>27.25</v>
      </c>
    </row>
    <row r="937" spans="1:9" x14ac:dyDescent="0.25">
      <c r="A937">
        <v>547</v>
      </c>
      <c r="B937" s="1">
        <v>45399</v>
      </c>
      <c r="C937">
        <v>69</v>
      </c>
      <c r="D937">
        <v>22</v>
      </c>
      <c r="E937">
        <v>2</v>
      </c>
      <c r="F937">
        <v>4</v>
      </c>
      <c r="G937" t="s">
        <v>1045</v>
      </c>
      <c r="H937">
        <f>_xlfn.XLOOKUP(D937, productos!$A$2:$A$150, productos!$D$2:$D$150, "No Encontrado", 0)</f>
        <v>4.21</v>
      </c>
      <c r="I937">
        <f t="shared" si="14"/>
        <v>8.42</v>
      </c>
    </row>
    <row r="938" spans="1:9" x14ac:dyDescent="0.25">
      <c r="A938">
        <v>1177</v>
      </c>
      <c r="B938" s="1">
        <v>45399</v>
      </c>
      <c r="C938">
        <v>192</v>
      </c>
      <c r="D938">
        <v>22</v>
      </c>
      <c r="E938">
        <v>1</v>
      </c>
      <c r="F938">
        <v>4</v>
      </c>
      <c r="G938" t="s">
        <v>1044</v>
      </c>
      <c r="H938">
        <f>_xlfn.XLOOKUP(D938, productos!$A$2:$A$150, productos!$D$2:$D$150, "No Encontrado", 0)</f>
        <v>4.21</v>
      </c>
      <c r="I938">
        <f t="shared" si="14"/>
        <v>4.21</v>
      </c>
    </row>
    <row r="939" spans="1:9" x14ac:dyDescent="0.25">
      <c r="A939">
        <v>2368</v>
      </c>
      <c r="B939" s="1">
        <v>45399</v>
      </c>
      <c r="C939">
        <v>245</v>
      </c>
      <c r="D939">
        <v>33</v>
      </c>
      <c r="E939">
        <v>1</v>
      </c>
      <c r="F939">
        <v>4</v>
      </c>
      <c r="G939" t="s">
        <v>1044</v>
      </c>
      <c r="H939">
        <f>_xlfn.XLOOKUP(D939, productos!$A$2:$A$150, productos!$D$2:$D$150, "No Encontrado", 0)</f>
        <v>8.5399999999999991</v>
      </c>
      <c r="I939">
        <f t="shared" si="14"/>
        <v>8.5399999999999991</v>
      </c>
    </row>
    <row r="940" spans="1:9" x14ac:dyDescent="0.25">
      <c r="A940">
        <v>2962</v>
      </c>
      <c r="B940" s="1">
        <v>45399</v>
      </c>
      <c r="C940">
        <v>314</v>
      </c>
      <c r="D940">
        <v>2</v>
      </c>
      <c r="E940">
        <v>6</v>
      </c>
      <c r="F940">
        <v>3</v>
      </c>
      <c r="G940" t="s">
        <v>1045</v>
      </c>
      <c r="H940">
        <f>_xlfn.XLOOKUP(D940, productos!$A$2:$A$150, productos!$D$2:$D$150, "No Encontrado", 0)</f>
        <v>5.21</v>
      </c>
      <c r="I940">
        <f t="shared" si="14"/>
        <v>31.259999999999998</v>
      </c>
    </row>
    <row r="941" spans="1:9" x14ac:dyDescent="0.25">
      <c r="A941">
        <v>421</v>
      </c>
      <c r="B941" s="1">
        <v>45400</v>
      </c>
      <c r="C941">
        <v>86</v>
      </c>
      <c r="D941">
        <v>28</v>
      </c>
      <c r="E941">
        <v>3</v>
      </c>
      <c r="F941">
        <v>4</v>
      </c>
      <c r="G941" t="s">
        <v>1045</v>
      </c>
      <c r="H941">
        <f>_xlfn.XLOOKUP(D941, productos!$A$2:$A$150, productos!$D$2:$D$150, "No Encontrado", 0)</f>
        <v>9.4499999999999993</v>
      </c>
      <c r="I941">
        <f t="shared" si="14"/>
        <v>28.349999999999998</v>
      </c>
    </row>
    <row r="942" spans="1:9" x14ac:dyDescent="0.25">
      <c r="A942">
        <v>1107</v>
      </c>
      <c r="B942" s="1">
        <v>45400</v>
      </c>
      <c r="C942">
        <v>223</v>
      </c>
      <c r="D942">
        <v>18</v>
      </c>
      <c r="E942">
        <v>4</v>
      </c>
      <c r="F942">
        <v>4</v>
      </c>
      <c r="G942" t="s">
        <v>1045</v>
      </c>
      <c r="H942">
        <f>_xlfn.XLOOKUP(D942, productos!$A$2:$A$150, productos!$D$2:$D$150, "No Encontrado", 0)</f>
        <v>7.25</v>
      </c>
      <c r="I942">
        <f t="shared" si="14"/>
        <v>29</v>
      </c>
    </row>
    <row r="943" spans="1:9" x14ac:dyDescent="0.25">
      <c r="A943">
        <v>1282</v>
      </c>
      <c r="B943" s="1">
        <v>45400</v>
      </c>
      <c r="C943">
        <v>280</v>
      </c>
      <c r="D943">
        <v>31</v>
      </c>
      <c r="E943">
        <v>1</v>
      </c>
      <c r="F943">
        <v>2</v>
      </c>
      <c r="G943" t="s">
        <v>1044</v>
      </c>
      <c r="H943">
        <f>_xlfn.XLOOKUP(D943, productos!$A$2:$A$150, productos!$D$2:$D$150, "No Encontrado", 0)</f>
        <v>5.24</v>
      </c>
      <c r="I943">
        <f t="shared" si="14"/>
        <v>5.24</v>
      </c>
    </row>
    <row r="944" spans="1:9" x14ac:dyDescent="0.25">
      <c r="A944">
        <v>1325</v>
      </c>
      <c r="B944" s="1">
        <v>45400</v>
      </c>
      <c r="C944">
        <v>89</v>
      </c>
      <c r="D944">
        <v>24</v>
      </c>
      <c r="E944">
        <v>6</v>
      </c>
      <c r="F944">
        <v>1</v>
      </c>
      <c r="G944" t="s">
        <v>1044</v>
      </c>
      <c r="H944">
        <f>_xlfn.XLOOKUP(D944, productos!$A$2:$A$150, productos!$D$2:$D$150, "No Encontrado", 0)</f>
        <v>13.54</v>
      </c>
      <c r="I944">
        <f t="shared" si="14"/>
        <v>81.239999999999995</v>
      </c>
    </row>
    <row r="945" spans="1:9" x14ac:dyDescent="0.25">
      <c r="A945">
        <v>1379</v>
      </c>
      <c r="B945" s="1">
        <v>45400</v>
      </c>
      <c r="C945">
        <v>301</v>
      </c>
      <c r="D945">
        <v>18</v>
      </c>
      <c r="E945">
        <v>1</v>
      </c>
      <c r="F945">
        <v>3</v>
      </c>
      <c r="G945" t="s">
        <v>1044</v>
      </c>
      <c r="H945">
        <f>_xlfn.XLOOKUP(D945, productos!$A$2:$A$150, productos!$D$2:$D$150, "No Encontrado", 0)</f>
        <v>7.25</v>
      </c>
      <c r="I945">
        <f t="shared" si="14"/>
        <v>7.25</v>
      </c>
    </row>
    <row r="946" spans="1:9" x14ac:dyDescent="0.25">
      <c r="A946">
        <v>1951</v>
      </c>
      <c r="B946" s="1">
        <v>45400</v>
      </c>
      <c r="C946">
        <v>212</v>
      </c>
      <c r="D946">
        <v>8</v>
      </c>
      <c r="E946">
        <v>6</v>
      </c>
      <c r="F946">
        <v>1</v>
      </c>
      <c r="G946" t="s">
        <v>1044</v>
      </c>
      <c r="H946">
        <f>_xlfn.XLOOKUP(D946, productos!$A$2:$A$150, productos!$D$2:$D$150, "No Encontrado", 0)</f>
        <v>16.21</v>
      </c>
      <c r="I946">
        <f t="shared" si="14"/>
        <v>97.26</v>
      </c>
    </row>
    <row r="947" spans="1:9" x14ac:dyDescent="0.25">
      <c r="A947">
        <v>2632</v>
      </c>
      <c r="B947" s="1">
        <v>45400</v>
      </c>
      <c r="C947">
        <v>53</v>
      </c>
      <c r="D947">
        <v>31</v>
      </c>
      <c r="E947">
        <v>6</v>
      </c>
      <c r="F947">
        <v>3</v>
      </c>
      <c r="G947" t="s">
        <v>1044</v>
      </c>
      <c r="H947">
        <f>_xlfn.XLOOKUP(D947, productos!$A$2:$A$150, productos!$D$2:$D$150, "No Encontrado", 0)</f>
        <v>5.24</v>
      </c>
      <c r="I947">
        <f t="shared" si="14"/>
        <v>31.44</v>
      </c>
    </row>
    <row r="948" spans="1:9" x14ac:dyDescent="0.25">
      <c r="A948">
        <v>2661</v>
      </c>
      <c r="B948" s="1">
        <v>45400</v>
      </c>
      <c r="C948">
        <v>121</v>
      </c>
      <c r="D948">
        <v>29</v>
      </c>
      <c r="E948">
        <v>3</v>
      </c>
      <c r="F948">
        <v>2</v>
      </c>
      <c r="G948" t="s">
        <v>1044</v>
      </c>
      <c r="H948">
        <f>_xlfn.XLOOKUP(D948, productos!$A$2:$A$150, productos!$D$2:$D$150, "No Encontrado", 0)</f>
        <v>11.54</v>
      </c>
      <c r="I948">
        <f t="shared" si="14"/>
        <v>34.619999999999997</v>
      </c>
    </row>
    <row r="949" spans="1:9" x14ac:dyDescent="0.25">
      <c r="A949">
        <v>2777</v>
      </c>
      <c r="B949" s="1">
        <v>45400</v>
      </c>
      <c r="C949">
        <v>24</v>
      </c>
      <c r="D949">
        <v>28</v>
      </c>
      <c r="E949">
        <v>6</v>
      </c>
      <c r="F949">
        <v>4</v>
      </c>
      <c r="G949" t="s">
        <v>1044</v>
      </c>
      <c r="H949">
        <f>_xlfn.XLOOKUP(D949, productos!$A$2:$A$150, productos!$D$2:$D$150, "No Encontrado", 0)</f>
        <v>9.4499999999999993</v>
      </c>
      <c r="I949">
        <f t="shared" si="14"/>
        <v>56.699999999999996</v>
      </c>
    </row>
    <row r="950" spans="1:9" x14ac:dyDescent="0.25">
      <c r="A950">
        <v>1320</v>
      </c>
      <c r="B950" s="1">
        <v>45401</v>
      </c>
      <c r="C950">
        <v>324</v>
      </c>
      <c r="D950">
        <v>22</v>
      </c>
      <c r="E950">
        <v>2</v>
      </c>
      <c r="F950">
        <v>4</v>
      </c>
      <c r="G950" t="s">
        <v>1045</v>
      </c>
      <c r="H950">
        <f>_xlfn.XLOOKUP(D950, productos!$A$2:$A$150, productos!$D$2:$D$150, "No Encontrado", 0)</f>
        <v>4.21</v>
      </c>
      <c r="I950">
        <f t="shared" si="14"/>
        <v>8.42</v>
      </c>
    </row>
    <row r="951" spans="1:9" x14ac:dyDescent="0.25">
      <c r="A951">
        <v>2081</v>
      </c>
      <c r="B951" s="1">
        <v>45401</v>
      </c>
      <c r="C951">
        <v>206</v>
      </c>
      <c r="D951">
        <v>3</v>
      </c>
      <c r="E951">
        <v>1</v>
      </c>
      <c r="F951">
        <v>1</v>
      </c>
      <c r="G951" t="s">
        <v>1044</v>
      </c>
      <c r="H951">
        <f>_xlfn.XLOOKUP(D951, productos!$A$2:$A$150, productos!$D$2:$D$150, "No Encontrado", 0)</f>
        <v>17.23</v>
      </c>
      <c r="I951">
        <f t="shared" si="14"/>
        <v>17.23</v>
      </c>
    </row>
    <row r="952" spans="1:9" x14ac:dyDescent="0.25">
      <c r="A952">
        <v>2087</v>
      </c>
      <c r="B952" s="1">
        <v>45401</v>
      </c>
      <c r="C952">
        <v>103</v>
      </c>
      <c r="D952">
        <v>27</v>
      </c>
      <c r="E952">
        <v>6</v>
      </c>
      <c r="F952">
        <v>3</v>
      </c>
      <c r="G952" t="s">
        <v>1044</v>
      </c>
      <c r="H952">
        <f>_xlfn.XLOOKUP(D952, productos!$A$2:$A$150, productos!$D$2:$D$150, "No Encontrado", 0)</f>
        <v>6.21</v>
      </c>
      <c r="I952">
        <f t="shared" si="14"/>
        <v>37.26</v>
      </c>
    </row>
    <row r="953" spans="1:9" x14ac:dyDescent="0.25">
      <c r="A953">
        <v>2149</v>
      </c>
      <c r="B953" s="1">
        <v>45401</v>
      </c>
      <c r="C953">
        <v>82</v>
      </c>
      <c r="D953">
        <v>3</v>
      </c>
      <c r="E953">
        <v>4</v>
      </c>
      <c r="F953">
        <v>4</v>
      </c>
      <c r="G953" t="s">
        <v>1044</v>
      </c>
      <c r="H953">
        <f>_xlfn.XLOOKUP(D953, productos!$A$2:$A$150, productos!$D$2:$D$150, "No Encontrado", 0)</f>
        <v>17.23</v>
      </c>
      <c r="I953">
        <f t="shared" si="14"/>
        <v>68.92</v>
      </c>
    </row>
    <row r="954" spans="1:9" x14ac:dyDescent="0.25">
      <c r="A954">
        <v>2666</v>
      </c>
      <c r="B954" s="1">
        <v>45401</v>
      </c>
      <c r="C954">
        <v>12</v>
      </c>
      <c r="D954">
        <v>36</v>
      </c>
      <c r="E954">
        <v>3</v>
      </c>
      <c r="F954">
        <v>3</v>
      </c>
      <c r="G954" t="s">
        <v>1044</v>
      </c>
      <c r="H954">
        <f>_xlfn.XLOOKUP(D954, productos!$A$2:$A$150, productos!$D$2:$D$150, "No Encontrado", 0)</f>
        <v>3.25</v>
      </c>
      <c r="I954">
        <f t="shared" si="14"/>
        <v>9.75</v>
      </c>
    </row>
    <row r="955" spans="1:9" x14ac:dyDescent="0.25">
      <c r="A955">
        <v>724</v>
      </c>
      <c r="B955" s="1">
        <v>45402</v>
      </c>
      <c r="C955">
        <v>298</v>
      </c>
      <c r="D955">
        <v>4</v>
      </c>
      <c r="E955">
        <v>2</v>
      </c>
      <c r="F955">
        <v>2</v>
      </c>
      <c r="G955" t="s">
        <v>1044</v>
      </c>
      <c r="H955">
        <f>_xlfn.XLOOKUP(D955, productos!$A$2:$A$150, productos!$D$2:$D$150, "No Encontrado", 0)</f>
        <v>19.23</v>
      </c>
      <c r="I955">
        <f t="shared" si="14"/>
        <v>38.46</v>
      </c>
    </row>
    <row r="956" spans="1:9" x14ac:dyDescent="0.25">
      <c r="A956">
        <v>800</v>
      </c>
      <c r="B956" s="1">
        <v>45402</v>
      </c>
      <c r="C956">
        <v>56</v>
      </c>
      <c r="D956">
        <v>29</v>
      </c>
      <c r="E956">
        <v>3</v>
      </c>
      <c r="F956">
        <v>3</v>
      </c>
      <c r="G956" t="s">
        <v>1044</v>
      </c>
      <c r="H956">
        <f>_xlfn.XLOOKUP(D956, productos!$A$2:$A$150, productos!$D$2:$D$150, "No Encontrado", 0)</f>
        <v>11.54</v>
      </c>
      <c r="I956">
        <f t="shared" si="14"/>
        <v>34.619999999999997</v>
      </c>
    </row>
    <row r="957" spans="1:9" x14ac:dyDescent="0.25">
      <c r="A957">
        <v>1575</v>
      </c>
      <c r="B957" s="1">
        <v>45402</v>
      </c>
      <c r="C957">
        <v>66</v>
      </c>
      <c r="D957">
        <v>4</v>
      </c>
      <c r="E957">
        <v>3</v>
      </c>
      <c r="F957">
        <v>4</v>
      </c>
      <c r="G957" t="s">
        <v>1044</v>
      </c>
      <c r="H957">
        <f>_xlfn.XLOOKUP(D957, productos!$A$2:$A$150, productos!$D$2:$D$150, "No Encontrado", 0)</f>
        <v>19.23</v>
      </c>
      <c r="I957">
        <f t="shared" si="14"/>
        <v>57.69</v>
      </c>
    </row>
    <row r="958" spans="1:9" x14ac:dyDescent="0.25">
      <c r="A958">
        <v>1605</v>
      </c>
      <c r="B958" s="1">
        <v>45402</v>
      </c>
      <c r="C958">
        <v>180</v>
      </c>
      <c r="D958">
        <v>20</v>
      </c>
      <c r="E958">
        <v>6</v>
      </c>
      <c r="F958">
        <v>2</v>
      </c>
      <c r="G958" t="s">
        <v>1045</v>
      </c>
      <c r="H958">
        <f>_xlfn.XLOOKUP(D958, productos!$A$2:$A$150, productos!$D$2:$D$150, "No Encontrado", 0)</f>
        <v>4.25</v>
      </c>
      <c r="I958">
        <f t="shared" si="14"/>
        <v>25.5</v>
      </c>
    </row>
    <row r="959" spans="1:9" x14ac:dyDescent="0.25">
      <c r="A959">
        <v>1707</v>
      </c>
      <c r="B959" s="1">
        <v>45402</v>
      </c>
      <c r="C959">
        <v>223</v>
      </c>
      <c r="D959">
        <v>30</v>
      </c>
      <c r="E959">
        <v>2</v>
      </c>
      <c r="F959">
        <v>5</v>
      </c>
      <c r="G959" t="s">
        <v>1044</v>
      </c>
      <c r="H959">
        <f>_xlfn.XLOOKUP(D959, productos!$A$2:$A$150, productos!$D$2:$D$150, "No Encontrado", 0)</f>
        <v>13.54</v>
      </c>
      <c r="I959">
        <f t="shared" si="14"/>
        <v>27.08</v>
      </c>
    </row>
    <row r="960" spans="1:9" x14ac:dyDescent="0.25">
      <c r="A960">
        <v>2092</v>
      </c>
      <c r="B960" s="1">
        <v>45402</v>
      </c>
      <c r="C960">
        <v>272</v>
      </c>
      <c r="D960">
        <v>23</v>
      </c>
      <c r="E960">
        <v>1</v>
      </c>
      <c r="F960">
        <v>3</v>
      </c>
      <c r="G960" t="s">
        <v>1044</v>
      </c>
      <c r="H960">
        <f>_xlfn.XLOOKUP(D960, productos!$A$2:$A$150, productos!$D$2:$D$150, "No Encontrado", 0)</f>
        <v>8.23</v>
      </c>
      <c r="I960">
        <f t="shared" si="14"/>
        <v>8.23</v>
      </c>
    </row>
    <row r="961" spans="1:9" x14ac:dyDescent="0.25">
      <c r="A961">
        <v>2205</v>
      </c>
      <c r="B961" s="1">
        <v>45402</v>
      </c>
      <c r="C961">
        <v>233</v>
      </c>
      <c r="D961">
        <v>4</v>
      </c>
      <c r="E961">
        <v>2</v>
      </c>
      <c r="F961">
        <v>4</v>
      </c>
      <c r="G961" t="s">
        <v>1044</v>
      </c>
      <c r="H961">
        <f>_xlfn.XLOOKUP(D961, productos!$A$2:$A$150, productos!$D$2:$D$150, "No Encontrado", 0)</f>
        <v>19.23</v>
      </c>
      <c r="I961">
        <f t="shared" si="14"/>
        <v>38.46</v>
      </c>
    </row>
    <row r="962" spans="1:9" x14ac:dyDescent="0.25">
      <c r="A962">
        <v>2434</v>
      </c>
      <c r="B962" s="1">
        <v>45402</v>
      </c>
      <c r="C962">
        <v>211</v>
      </c>
      <c r="D962">
        <v>28</v>
      </c>
      <c r="E962">
        <v>5</v>
      </c>
      <c r="F962">
        <v>3</v>
      </c>
      <c r="G962" t="s">
        <v>1045</v>
      </c>
      <c r="H962">
        <f>_xlfn.XLOOKUP(D962, productos!$A$2:$A$150, productos!$D$2:$D$150, "No Encontrado", 0)</f>
        <v>9.4499999999999993</v>
      </c>
      <c r="I962">
        <f t="shared" si="14"/>
        <v>47.25</v>
      </c>
    </row>
    <row r="963" spans="1:9" x14ac:dyDescent="0.25">
      <c r="A963">
        <v>2596</v>
      </c>
      <c r="B963" s="1">
        <v>45402</v>
      </c>
      <c r="C963">
        <v>287</v>
      </c>
      <c r="D963">
        <v>12</v>
      </c>
      <c r="E963">
        <v>5</v>
      </c>
      <c r="F963">
        <v>1</v>
      </c>
      <c r="G963" t="s">
        <v>1044</v>
      </c>
      <c r="H963">
        <f>_xlfn.XLOOKUP(D963, productos!$A$2:$A$150, productos!$D$2:$D$150, "No Encontrado", 0)</f>
        <v>8.1199999999999992</v>
      </c>
      <c r="I963">
        <f t="shared" ref="I963:I1026" si="15">E963*H963</f>
        <v>40.599999999999994</v>
      </c>
    </row>
    <row r="964" spans="1:9" x14ac:dyDescent="0.25">
      <c r="A964">
        <v>2635</v>
      </c>
      <c r="B964" s="1">
        <v>45402</v>
      </c>
      <c r="C964">
        <v>263</v>
      </c>
      <c r="D964">
        <v>34</v>
      </c>
      <c r="E964">
        <v>5</v>
      </c>
      <c r="F964">
        <v>1</v>
      </c>
      <c r="G964" t="s">
        <v>1044</v>
      </c>
      <c r="H964">
        <f>_xlfn.XLOOKUP(D964, productos!$A$2:$A$150, productos!$D$2:$D$150, "No Encontrado", 0)</f>
        <v>5.45</v>
      </c>
      <c r="I964">
        <f t="shared" si="15"/>
        <v>27.25</v>
      </c>
    </row>
    <row r="965" spans="1:9" x14ac:dyDescent="0.25">
      <c r="A965">
        <v>598</v>
      </c>
      <c r="B965" s="1">
        <v>45403</v>
      </c>
      <c r="C965">
        <v>186</v>
      </c>
      <c r="D965">
        <v>4</v>
      </c>
      <c r="E965">
        <v>1</v>
      </c>
      <c r="F965">
        <v>1</v>
      </c>
      <c r="G965" t="s">
        <v>1044</v>
      </c>
      <c r="H965">
        <f>_xlfn.XLOOKUP(D965, productos!$A$2:$A$150, productos!$D$2:$D$150, "No Encontrado", 0)</f>
        <v>19.23</v>
      </c>
      <c r="I965">
        <f t="shared" si="15"/>
        <v>19.23</v>
      </c>
    </row>
    <row r="966" spans="1:9" x14ac:dyDescent="0.25">
      <c r="A966">
        <v>1026</v>
      </c>
      <c r="B966" s="1">
        <v>45403</v>
      </c>
      <c r="C966">
        <v>131</v>
      </c>
      <c r="D966">
        <v>17</v>
      </c>
      <c r="E966">
        <v>2</v>
      </c>
      <c r="F966">
        <v>4</v>
      </c>
      <c r="G966" t="s">
        <v>1045</v>
      </c>
      <c r="H966">
        <f>_xlfn.XLOOKUP(D966, productos!$A$2:$A$150, productos!$D$2:$D$150, "No Encontrado", 0)</f>
        <v>6.54</v>
      </c>
      <c r="I966">
        <f t="shared" si="15"/>
        <v>13.08</v>
      </c>
    </row>
    <row r="967" spans="1:9" x14ac:dyDescent="0.25">
      <c r="A967">
        <v>1194</v>
      </c>
      <c r="B967" s="1">
        <v>45403</v>
      </c>
      <c r="C967">
        <v>237</v>
      </c>
      <c r="D967">
        <v>17</v>
      </c>
      <c r="E967">
        <v>6</v>
      </c>
      <c r="F967">
        <v>4</v>
      </c>
      <c r="G967" t="s">
        <v>1044</v>
      </c>
      <c r="H967">
        <f>_xlfn.XLOOKUP(D967, productos!$A$2:$A$150, productos!$D$2:$D$150, "No Encontrado", 0)</f>
        <v>6.54</v>
      </c>
      <c r="I967">
        <f t="shared" si="15"/>
        <v>39.24</v>
      </c>
    </row>
    <row r="968" spans="1:9" x14ac:dyDescent="0.25">
      <c r="A968">
        <v>1456</v>
      </c>
      <c r="B968" s="1">
        <v>45403</v>
      </c>
      <c r="C968">
        <v>271</v>
      </c>
      <c r="D968">
        <v>18</v>
      </c>
      <c r="E968">
        <v>4</v>
      </c>
      <c r="F968">
        <v>1</v>
      </c>
      <c r="G968" t="s">
        <v>1044</v>
      </c>
      <c r="H968">
        <f>_xlfn.XLOOKUP(D968, productos!$A$2:$A$150, productos!$D$2:$D$150, "No Encontrado", 0)</f>
        <v>7.25</v>
      </c>
      <c r="I968">
        <f t="shared" si="15"/>
        <v>29</v>
      </c>
    </row>
    <row r="969" spans="1:9" x14ac:dyDescent="0.25">
      <c r="A969">
        <v>1638</v>
      </c>
      <c r="B969" s="1">
        <v>45403</v>
      </c>
      <c r="C969">
        <v>151</v>
      </c>
      <c r="D969">
        <v>18</v>
      </c>
      <c r="E969">
        <v>1</v>
      </c>
      <c r="F969">
        <v>4</v>
      </c>
      <c r="G969" t="s">
        <v>1044</v>
      </c>
      <c r="H969">
        <f>_xlfn.XLOOKUP(D969, productos!$A$2:$A$150, productos!$D$2:$D$150, "No Encontrado", 0)</f>
        <v>7.25</v>
      </c>
      <c r="I969">
        <f t="shared" si="15"/>
        <v>7.25</v>
      </c>
    </row>
    <row r="970" spans="1:9" x14ac:dyDescent="0.25">
      <c r="A970">
        <v>1714</v>
      </c>
      <c r="B970" s="1">
        <v>45403</v>
      </c>
      <c r="C970">
        <v>242</v>
      </c>
      <c r="D970">
        <v>32</v>
      </c>
      <c r="E970">
        <v>4</v>
      </c>
      <c r="F970">
        <v>5</v>
      </c>
      <c r="G970" t="s">
        <v>1044</v>
      </c>
      <c r="H970">
        <f>_xlfn.XLOOKUP(D970, productos!$A$2:$A$150, productos!$D$2:$D$150, "No Encontrado", 0)</f>
        <v>6.25</v>
      </c>
      <c r="I970">
        <f t="shared" si="15"/>
        <v>25</v>
      </c>
    </row>
    <row r="971" spans="1:9" x14ac:dyDescent="0.25">
      <c r="A971">
        <v>1894</v>
      </c>
      <c r="B971" s="1">
        <v>45403</v>
      </c>
      <c r="C971">
        <v>1</v>
      </c>
      <c r="D971">
        <v>37</v>
      </c>
      <c r="E971">
        <v>4</v>
      </c>
      <c r="F971">
        <v>4</v>
      </c>
      <c r="G971" t="s">
        <v>1044</v>
      </c>
      <c r="H971">
        <f>_xlfn.XLOOKUP(D971, productos!$A$2:$A$150, productos!$D$2:$D$150, "No Encontrado", 0)</f>
        <v>3.65</v>
      </c>
      <c r="I971">
        <f t="shared" si="15"/>
        <v>14.6</v>
      </c>
    </row>
    <row r="972" spans="1:9" x14ac:dyDescent="0.25">
      <c r="A972">
        <v>2055</v>
      </c>
      <c r="B972" s="1">
        <v>45403</v>
      </c>
      <c r="C972">
        <v>186</v>
      </c>
      <c r="D972">
        <v>5</v>
      </c>
      <c r="E972">
        <v>3</v>
      </c>
      <c r="F972">
        <v>5</v>
      </c>
      <c r="G972" t="s">
        <v>1044</v>
      </c>
      <c r="H972">
        <f>_xlfn.XLOOKUP(D972, productos!$A$2:$A$150, productos!$D$2:$D$150, "No Encontrado", 0)</f>
        <v>5.65</v>
      </c>
      <c r="I972">
        <f t="shared" si="15"/>
        <v>16.950000000000003</v>
      </c>
    </row>
    <row r="973" spans="1:9" x14ac:dyDescent="0.25">
      <c r="A973">
        <v>2066</v>
      </c>
      <c r="B973" s="1">
        <v>45403</v>
      </c>
      <c r="C973">
        <v>288</v>
      </c>
      <c r="D973">
        <v>11</v>
      </c>
      <c r="E973">
        <v>1</v>
      </c>
      <c r="F973">
        <v>4</v>
      </c>
      <c r="G973" t="s">
        <v>1044</v>
      </c>
      <c r="H973">
        <f>_xlfn.XLOOKUP(D973, productos!$A$2:$A$150, productos!$D$2:$D$150, "No Encontrado", 0)</f>
        <v>11.23</v>
      </c>
      <c r="I973">
        <f t="shared" si="15"/>
        <v>11.23</v>
      </c>
    </row>
    <row r="974" spans="1:9" x14ac:dyDescent="0.25">
      <c r="A974">
        <v>2356</v>
      </c>
      <c r="B974" s="1">
        <v>45403</v>
      </c>
      <c r="C974">
        <v>139</v>
      </c>
      <c r="D974">
        <v>19</v>
      </c>
      <c r="E974">
        <v>1</v>
      </c>
      <c r="F974">
        <v>4</v>
      </c>
      <c r="G974" t="s">
        <v>1044</v>
      </c>
      <c r="H974">
        <f>_xlfn.XLOOKUP(D974, productos!$A$2:$A$150, productos!$D$2:$D$150, "No Encontrado", 0)</f>
        <v>6.54</v>
      </c>
      <c r="I974">
        <f t="shared" si="15"/>
        <v>6.54</v>
      </c>
    </row>
    <row r="975" spans="1:9" x14ac:dyDescent="0.25">
      <c r="A975">
        <v>2426</v>
      </c>
      <c r="B975" s="1">
        <v>45403</v>
      </c>
      <c r="C975">
        <v>75</v>
      </c>
      <c r="D975">
        <v>30</v>
      </c>
      <c r="E975">
        <v>2</v>
      </c>
      <c r="F975">
        <v>4</v>
      </c>
      <c r="G975" t="s">
        <v>1044</v>
      </c>
      <c r="H975">
        <f>_xlfn.XLOOKUP(D975, productos!$A$2:$A$150, productos!$D$2:$D$150, "No Encontrado", 0)</f>
        <v>13.54</v>
      </c>
      <c r="I975">
        <f t="shared" si="15"/>
        <v>27.08</v>
      </c>
    </row>
    <row r="976" spans="1:9" x14ac:dyDescent="0.25">
      <c r="A976">
        <v>2499</v>
      </c>
      <c r="B976" s="1">
        <v>45403</v>
      </c>
      <c r="C976">
        <v>310</v>
      </c>
      <c r="D976">
        <v>24</v>
      </c>
      <c r="E976">
        <v>1</v>
      </c>
      <c r="F976">
        <v>3</v>
      </c>
      <c r="G976" t="s">
        <v>1045</v>
      </c>
      <c r="H976">
        <f>_xlfn.XLOOKUP(D976, productos!$A$2:$A$150, productos!$D$2:$D$150, "No Encontrado", 0)</f>
        <v>13.54</v>
      </c>
      <c r="I976">
        <f t="shared" si="15"/>
        <v>13.54</v>
      </c>
    </row>
    <row r="977" spans="1:9" x14ac:dyDescent="0.25">
      <c r="A977">
        <v>2827</v>
      </c>
      <c r="B977" s="1">
        <v>45403</v>
      </c>
      <c r="C977">
        <v>305</v>
      </c>
      <c r="D977">
        <v>23</v>
      </c>
      <c r="E977">
        <v>2</v>
      </c>
      <c r="F977">
        <v>5</v>
      </c>
      <c r="G977" t="s">
        <v>1044</v>
      </c>
      <c r="H977">
        <f>_xlfn.XLOOKUP(D977, productos!$A$2:$A$150, productos!$D$2:$D$150, "No Encontrado", 0)</f>
        <v>8.23</v>
      </c>
      <c r="I977">
        <f t="shared" si="15"/>
        <v>16.46</v>
      </c>
    </row>
    <row r="978" spans="1:9" x14ac:dyDescent="0.25">
      <c r="A978">
        <v>523</v>
      </c>
      <c r="B978" s="1">
        <v>45404</v>
      </c>
      <c r="C978">
        <v>107</v>
      </c>
      <c r="D978">
        <v>12</v>
      </c>
      <c r="E978">
        <v>2</v>
      </c>
      <c r="F978">
        <v>1</v>
      </c>
      <c r="G978" t="s">
        <v>1044</v>
      </c>
      <c r="H978">
        <f>_xlfn.XLOOKUP(D978, productos!$A$2:$A$150, productos!$D$2:$D$150, "No Encontrado", 0)</f>
        <v>8.1199999999999992</v>
      </c>
      <c r="I978">
        <f t="shared" si="15"/>
        <v>16.239999999999998</v>
      </c>
    </row>
    <row r="979" spans="1:9" x14ac:dyDescent="0.25">
      <c r="A979">
        <v>806</v>
      </c>
      <c r="B979" s="1">
        <v>45404</v>
      </c>
      <c r="C979">
        <v>225</v>
      </c>
      <c r="D979">
        <v>32</v>
      </c>
      <c r="E979">
        <v>6</v>
      </c>
      <c r="F979">
        <v>2</v>
      </c>
      <c r="G979" t="s">
        <v>1044</v>
      </c>
      <c r="H979">
        <f>_xlfn.XLOOKUP(D979, productos!$A$2:$A$150, productos!$D$2:$D$150, "No Encontrado", 0)</f>
        <v>6.25</v>
      </c>
      <c r="I979">
        <f t="shared" si="15"/>
        <v>37.5</v>
      </c>
    </row>
    <row r="980" spans="1:9" x14ac:dyDescent="0.25">
      <c r="A980">
        <v>1074</v>
      </c>
      <c r="B980" s="1">
        <v>45404</v>
      </c>
      <c r="C980">
        <v>320</v>
      </c>
      <c r="D980">
        <v>38</v>
      </c>
      <c r="E980">
        <v>6</v>
      </c>
      <c r="F980">
        <v>3</v>
      </c>
      <c r="G980" t="s">
        <v>1044</v>
      </c>
      <c r="H980">
        <f>_xlfn.XLOOKUP(D980, productos!$A$2:$A$150, productos!$D$2:$D$150, "No Encontrado", 0)</f>
        <v>6.21</v>
      </c>
      <c r="I980">
        <f t="shared" si="15"/>
        <v>37.26</v>
      </c>
    </row>
    <row r="981" spans="1:9" x14ac:dyDescent="0.25">
      <c r="A981">
        <v>1406</v>
      </c>
      <c r="B981" s="1">
        <v>45404</v>
      </c>
      <c r="C981">
        <v>100</v>
      </c>
      <c r="D981">
        <v>23</v>
      </c>
      <c r="E981">
        <v>1</v>
      </c>
      <c r="F981">
        <v>3</v>
      </c>
      <c r="G981" t="s">
        <v>1044</v>
      </c>
      <c r="H981">
        <f>_xlfn.XLOOKUP(D981, productos!$A$2:$A$150, productos!$D$2:$D$150, "No Encontrado", 0)</f>
        <v>8.23</v>
      </c>
      <c r="I981">
        <f t="shared" si="15"/>
        <v>8.23</v>
      </c>
    </row>
    <row r="982" spans="1:9" x14ac:dyDescent="0.25">
      <c r="A982">
        <v>1806</v>
      </c>
      <c r="B982" s="1">
        <v>45404</v>
      </c>
      <c r="C982">
        <v>233</v>
      </c>
      <c r="D982">
        <v>35</v>
      </c>
      <c r="E982">
        <v>4</v>
      </c>
      <c r="F982">
        <v>2</v>
      </c>
      <c r="G982" t="s">
        <v>1044</v>
      </c>
      <c r="H982">
        <f>_xlfn.XLOOKUP(D982, productos!$A$2:$A$150, productos!$D$2:$D$150, "No Encontrado", 0)</f>
        <v>4.25</v>
      </c>
      <c r="I982">
        <f t="shared" si="15"/>
        <v>17</v>
      </c>
    </row>
    <row r="983" spans="1:9" x14ac:dyDescent="0.25">
      <c r="A983">
        <v>1853</v>
      </c>
      <c r="B983" s="1">
        <v>45404</v>
      </c>
      <c r="C983">
        <v>273</v>
      </c>
      <c r="D983">
        <v>5</v>
      </c>
      <c r="E983">
        <v>5</v>
      </c>
      <c r="F983">
        <v>4</v>
      </c>
      <c r="G983" t="s">
        <v>1044</v>
      </c>
      <c r="H983">
        <f>_xlfn.XLOOKUP(D983, productos!$A$2:$A$150, productos!$D$2:$D$150, "No Encontrado", 0)</f>
        <v>5.65</v>
      </c>
      <c r="I983">
        <f t="shared" si="15"/>
        <v>28.25</v>
      </c>
    </row>
    <row r="984" spans="1:9" x14ac:dyDescent="0.25">
      <c r="A984">
        <v>2925</v>
      </c>
      <c r="B984" s="1">
        <v>45404</v>
      </c>
      <c r="C984">
        <v>209</v>
      </c>
      <c r="D984">
        <v>18</v>
      </c>
      <c r="E984">
        <v>3</v>
      </c>
      <c r="F984">
        <v>2</v>
      </c>
      <c r="G984" t="s">
        <v>1044</v>
      </c>
      <c r="H984">
        <f>_xlfn.XLOOKUP(D984, productos!$A$2:$A$150, productos!$D$2:$D$150, "No Encontrado", 0)</f>
        <v>7.25</v>
      </c>
      <c r="I984">
        <f t="shared" si="15"/>
        <v>21.75</v>
      </c>
    </row>
    <row r="985" spans="1:9" x14ac:dyDescent="0.25">
      <c r="A985">
        <v>849</v>
      </c>
      <c r="B985" s="1">
        <v>45405</v>
      </c>
      <c r="C985">
        <v>177</v>
      </c>
      <c r="D985">
        <v>31</v>
      </c>
      <c r="E985">
        <v>2</v>
      </c>
      <c r="F985">
        <v>5</v>
      </c>
      <c r="G985" t="s">
        <v>1044</v>
      </c>
      <c r="H985">
        <f>_xlfn.XLOOKUP(D985, productos!$A$2:$A$150, productos!$D$2:$D$150, "No Encontrado", 0)</f>
        <v>5.24</v>
      </c>
      <c r="I985">
        <f t="shared" si="15"/>
        <v>10.48</v>
      </c>
    </row>
    <row r="986" spans="1:9" x14ac:dyDescent="0.25">
      <c r="A986">
        <v>1254</v>
      </c>
      <c r="B986" s="1">
        <v>45405</v>
      </c>
      <c r="C986">
        <v>294</v>
      </c>
      <c r="D986">
        <v>4</v>
      </c>
      <c r="E986">
        <v>2</v>
      </c>
      <c r="F986">
        <v>4</v>
      </c>
      <c r="G986" t="s">
        <v>1044</v>
      </c>
      <c r="H986">
        <f>_xlfn.XLOOKUP(D986, productos!$A$2:$A$150, productos!$D$2:$D$150, "No Encontrado", 0)</f>
        <v>19.23</v>
      </c>
      <c r="I986">
        <f t="shared" si="15"/>
        <v>38.46</v>
      </c>
    </row>
    <row r="987" spans="1:9" x14ac:dyDescent="0.25">
      <c r="A987">
        <v>1677</v>
      </c>
      <c r="B987" s="1">
        <v>45405</v>
      </c>
      <c r="C987">
        <v>122</v>
      </c>
      <c r="D987">
        <v>5</v>
      </c>
      <c r="E987">
        <v>1</v>
      </c>
      <c r="F987">
        <v>2</v>
      </c>
      <c r="G987" t="s">
        <v>1045</v>
      </c>
      <c r="H987">
        <f>_xlfn.XLOOKUP(D987, productos!$A$2:$A$150, productos!$D$2:$D$150, "No Encontrado", 0)</f>
        <v>5.65</v>
      </c>
      <c r="I987">
        <f t="shared" si="15"/>
        <v>5.65</v>
      </c>
    </row>
    <row r="988" spans="1:9" x14ac:dyDescent="0.25">
      <c r="A988">
        <v>1686</v>
      </c>
      <c r="B988" s="1">
        <v>45405</v>
      </c>
      <c r="C988">
        <v>73</v>
      </c>
      <c r="D988">
        <v>37</v>
      </c>
      <c r="E988">
        <v>1</v>
      </c>
      <c r="F988">
        <v>4</v>
      </c>
      <c r="G988" t="s">
        <v>1044</v>
      </c>
      <c r="H988">
        <f>_xlfn.XLOOKUP(D988, productos!$A$2:$A$150, productos!$D$2:$D$150, "No Encontrado", 0)</f>
        <v>3.65</v>
      </c>
      <c r="I988">
        <f t="shared" si="15"/>
        <v>3.65</v>
      </c>
    </row>
    <row r="989" spans="1:9" x14ac:dyDescent="0.25">
      <c r="A989">
        <v>1732</v>
      </c>
      <c r="B989" s="1">
        <v>45405</v>
      </c>
      <c r="C989">
        <v>215</v>
      </c>
      <c r="D989">
        <v>38</v>
      </c>
      <c r="E989">
        <v>5</v>
      </c>
      <c r="F989">
        <v>4</v>
      </c>
      <c r="G989" t="s">
        <v>1044</v>
      </c>
      <c r="H989">
        <f>_xlfn.XLOOKUP(D989, productos!$A$2:$A$150, productos!$D$2:$D$150, "No Encontrado", 0)</f>
        <v>6.21</v>
      </c>
      <c r="I989">
        <f t="shared" si="15"/>
        <v>31.05</v>
      </c>
    </row>
    <row r="990" spans="1:9" x14ac:dyDescent="0.25">
      <c r="A990">
        <v>1800</v>
      </c>
      <c r="B990" s="1">
        <v>45405</v>
      </c>
      <c r="C990">
        <v>313</v>
      </c>
      <c r="D990">
        <v>37</v>
      </c>
      <c r="E990">
        <v>4</v>
      </c>
      <c r="F990">
        <v>5</v>
      </c>
      <c r="G990" t="s">
        <v>1045</v>
      </c>
      <c r="H990">
        <f>_xlfn.XLOOKUP(D990, productos!$A$2:$A$150, productos!$D$2:$D$150, "No Encontrado", 0)</f>
        <v>3.65</v>
      </c>
      <c r="I990">
        <f t="shared" si="15"/>
        <v>14.6</v>
      </c>
    </row>
    <row r="991" spans="1:9" x14ac:dyDescent="0.25">
      <c r="A991">
        <v>909</v>
      </c>
      <c r="B991" s="1">
        <v>45406</v>
      </c>
      <c r="C991">
        <v>287</v>
      </c>
      <c r="D991">
        <v>31</v>
      </c>
      <c r="E991">
        <v>1</v>
      </c>
      <c r="F991">
        <v>1</v>
      </c>
      <c r="G991" t="s">
        <v>1044</v>
      </c>
      <c r="H991">
        <f>_xlfn.XLOOKUP(D991, productos!$A$2:$A$150, productos!$D$2:$D$150, "No Encontrado", 0)</f>
        <v>5.24</v>
      </c>
      <c r="I991">
        <f t="shared" si="15"/>
        <v>5.24</v>
      </c>
    </row>
    <row r="992" spans="1:9" x14ac:dyDescent="0.25">
      <c r="A992">
        <v>1460</v>
      </c>
      <c r="B992" s="1">
        <v>45406</v>
      </c>
      <c r="C992">
        <v>40</v>
      </c>
      <c r="D992">
        <v>17</v>
      </c>
      <c r="E992">
        <v>4</v>
      </c>
      <c r="F992">
        <v>3</v>
      </c>
      <c r="G992" t="s">
        <v>1044</v>
      </c>
      <c r="H992">
        <f>_xlfn.XLOOKUP(D992, productos!$A$2:$A$150, productos!$D$2:$D$150, "No Encontrado", 0)</f>
        <v>6.54</v>
      </c>
      <c r="I992">
        <f t="shared" si="15"/>
        <v>26.16</v>
      </c>
    </row>
    <row r="993" spans="1:9" x14ac:dyDescent="0.25">
      <c r="A993">
        <v>1783</v>
      </c>
      <c r="B993" s="1">
        <v>45406</v>
      </c>
      <c r="C993">
        <v>301</v>
      </c>
      <c r="D993">
        <v>11</v>
      </c>
      <c r="E993">
        <v>2</v>
      </c>
      <c r="F993">
        <v>4</v>
      </c>
      <c r="G993" t="s">
        <v>1044</v>
      </c>
      <c r="H993">
        <f>_xlfn.XLOOKUP(D993, productos!$A$2:$A$150, productos!$D$2:$D$150, "No Encontrado", 0)</f>
        <v>11.23</v>
      </c>
      <c r="I993">
        <f t="shared" si="15"/>
        <v>22.46</v>
      </c>
    </row>
    <row r="994" spans="1:9" x14ac:dyDescent="0.25">
      <c r="A994">
        <v>1996</v>
      </c>
      <c r="B994" s="1">
        <v>45406</v>
      </c>
      <c r="C994">
        <v>117</v>
      </c>
      <c r="D994">
        <v>23</v>
      </c>
      <c r="E994">
        <v>2</v>
      </c>
      <c r="F994">
        <v>3</v>
      </c>
      <c r="G994" t="s">
        <v>1044</v>
      </c>
      <c r="H994">
        <f>_xlfn.XLOOKUP(D994, productos!$A$2:$A$150, productos!$D$2:$D$150, "No Encontrado", 0)</f>
        <v>8.23</v>
      </c>
      <c r="I994">
        <f t="shared" si="15"/>
        <v>16.46</v>
      </c>
    </row>
    <row r="995" spans="1:9" x14ac:dyDescent="0.25">
      <c r="A995">
        <v>2145</v>
      </c>
      <c r="B995" s="1">
        <v>45406</v>
      </c>
      <c r="C995">
        <v>38</v>
      </c>
      <c r="D995">
        <v>12</v>
      </c>
      <c r="E995">
        <v>4</v>
      </c>
      <c r="F995">
        <v>2</v>
      </c>
      <c r="G995" t="s">
        <v>1044</v>
      </c>
      <c r="H995">
        <f>_xlfn.XLOOKUP(D995, productos!$A$2:$A$150, productos!$D$2:$D$150, "No Encontrado", 0)</f>
        <v>8.1199999999999992</v>
      </c>
      <c r="I995">
        <f t="shared" si="15"/>
        <v>32.479999999999997</v>
      </c>
    </row>
    <row r="996" spans="1:9" x14ac:dyDescent="0.25">
      <c r="A996">
        <v>2584</v>
      </c>
      <c r="B996" s="1">
        <v>45406</v>
      </c>
      <c r="C996">
        <v>141</v>
      </c>
      <c r="D996">
        <v>5</v>
      </c>
      <c r="E996">
        <v>4</v>
      </c>
      <c r="F996">
        <v>4</v>
      </c>
      <c r="G996" t="s">
        <v>1044</v>
      </c>
      <c r="H996">
        <f>_xlfn.XLOOKUP(D996, productos!$A$2:$A$150, productos!$D$2:$D$150, "No Encontrado", 0)</f>
        <v>5.65</v>
      </c>
      <c r="I996">
        <f t="shared" si="15"/>
        <v>22.6</v>
      </c>
    </row>
    <row r="997" spans="1:9" x14ac:dyDescent="0.25">
      <c r="A997">
        <v>2645</v>
      </c>
      <c r="B997" s="1">
        <v>45406</v>
      </c>
      <c r="C997">
        <v>182</v>
      </c>
      <c r="D997">
        <v>32</v>
      </c>
      <c r="E997">
        <v>6</v>
      </c>
      <c r="F997">
        <v>5</v>
      </c>
      <c r="G997" t="s">
        <v>1044</v>
      </c>
      <c r="H997">
        <f>_xlfn.XLOOKUP(D997, productos!$A$2:$A$150, productos!$D$2:$D$150, "No Encontrado", 0)</f>
        <v>6.25</v>
      </c>
      <c r="I997">
        <f t="shared" si="15"/>
        <v>37.5</v>
      </c>
    </row>
    <row r="998" spans="1:9" x14ac:dyDescent="0.25">
      <c r="A998">
        <v>751</v>
      </c>
      <c r="B998" s="1">
        <v>45407</v>
      </c>
      <c r="C998">
        <v>259</v>
      </c>
      <c r="D998">
        <v>23</v>
      </c>
      <c r="E998">
        <v>2</v>
      </c>
      <c r="F998">
        <v>1</v>
      </c>
      <c r="G998" t="s">
        <v>1045</v>
      </c>
      <c r="H998">
        <f>_xlfn.XLOOKUP(D998, productos!$A$2:$A$150, productos!$D$2:$D$150, "No Encontrado", 0)</f>
        <v>8.23</v>
      </c>
      <c r="I998">
        <f t="shared" si="15"/>
        <v>16.46</v>
      </c>
    </row>
    <row r="999" spans="1:9" x14ac:dyDescent="0.25">
      <c r="A999">
        <v>792</v>
      </c>
      <c r="B999" s="1">
        <v>45407</v>
      </c>
      <c r="C999">
        <v>130</v>
      </c>
      <c r="D999">
        <v>1</v>
      </c>
      <c r="E999">
        <v>1</v>
      </c>
      <c r="F999">
        <v>1</v>
      </c>
      <c r="G999" t="s">
        <v>1044</v>
      </c>
      <c r="H999">
        <f>_xlfn.XLOOKUP(D999, productos!$A$2:$A$150, productos!$D$2:$D$150, "No Encontrado", 0)</f>
        <v>12.24</v>
      </c>
      <c r="I999">
        <f t="shared" si="15"/>
        <v>12.24</v>
      </c>
    </row>
    <row r="1000" spans="1:9" x14ac:dyDescent="0.25">
      <c r="A1000">
        <v>952</v>
      </c>
      <c r="B1000" s="1">
        <v>45407</v>
      </c>
      <c r="C1000">
        <v>207</v>
      </c>
      <c r="D1000">
        <v>7</v>
      </c>
      <c r="E1000">
        <v>3</v>
      </c>
      <c r="F1000">
        <v>3</v>
      </c>
      <c r="G1000" t="s">
        <v>1044</v>
      </c>
      <c r="H1000">
        <f>_xlfn.XLOOKUP(D1000, productos!$A$2:$A$150, productos!$D$2:$D$150, "No Encontrado", 0)</f>
        <v>11.25</v>
      </c>
      <c r="I1000">
        <f t="shared" si="15"/>
        <v>33.75</v>
      </c>
    </row>
    <row r="1001" spans="1:9" x14ac:dyDescent="0.25">
      <c r="A1001">
        <v>1060</v>
      </c>
      <c r="B1001" s="1">
        <v>45407</v>
      </c>
      <c r="C1001">
        <v>56</v>
      </c>
      <c r="D1001">
        <v>29</v>
      </c>
      <c r="E1001">
        <v>5</v>
      </c>
      <c r="F1001">
        <v>3</v>
      </c>
      <c r="G1001" t="s">
        <v>1044</v>
      </c>
      <c r="H1001">
        <f>_xlfn.XLOOKUP(D1001, productos!$A$2:$A$150, productos!$D$2:$D$150, "No Encontrado", 0)</f>
        <v>11.54</v>
      </c>
      <c r="I1001">
        <f t="shared" si="15"/>
        <v>57.699999999999996</v>
      </c>
    </row>
    <row r="1002" spans="1:9" x14ac:dyDescent="0.25">
      <c r="A1002">
        <v>1088</v>
      </c>
      <c r="B1002" s="1">
        <v>45407</v>
      </c>
      <c r="C1002">
        <v>274</v>
      </c>
      <c r="D1002">
        <v>30</v>
      </c>
      <c r="E1002">
        <v>2</v>
      </c>
      <c r="F1002">
        <v>2</v>
      </c>
      <c r="G1002" t="s">
        <v>1044</v>
      </c>
      <c r="H1002">
        <f>_xlfn.XLOOKUP(D1002, productos!$A$2:$A$150, productos!$D$2:$D$150, "No Encontrado", 0)</f>
        <v>13.54</v>
      </c>
      <c r="I1002">
        <f t="shared" si="15"/>
        <v>27.08</v>
      </c>
    </row>
    <row r="1003" spans="1:9" x14ac:dyDescent="0.25">
      <c r="A1003">
        <v>1657</v>
      </c>
      <c r="B1003" s="1">
        <v>45407</v>
      </c>
      <c r="C1003">
        <v>298</v>
      </c>
      <c r="D1003">
        <v>12</v>
      </c>
      <c r="E1003">
        <v>5</v>
      </c>
      <c r="F1003">
        <v>1</v>
      </c>
      <c r="G1003" t="s">
        <v>1044</v>
      </c>
      <c r="H1003">
        <f>_xlfn.XLOOKUP(D1003, productos!$A$2:$A$150, productos!$D$2:$D$150, "No Encontrado", 0)</f>
        <v>8.1199999999999992</v>
      </c>
      <c r="I1003">
        <f t="shared" si="15"/>
        <v>40.599999999999994</v>
      </c>
    </row>
    <row r="1004" spans="1:9" x14ac:dyDescent="0.25">
      <c r="A1004">
        <v>1900</v>
      </c>
      <c r="B1004" s="1">
        <v>45407</v>
      </c>
      <c r="C1004">
        <v>222</v>
      </c>
      <c r="D1004">
        <v>24</v>
      </c>
      <c r="E1004">
        <v>2</v>
      </c>
      <c r="F1004">
        <v>3</v>
      </c>
      <c r="G1004" t="s">
        <v>1044</v>
      </c>
      <c r="H1004">
        <f>_xlfn.XLOOKUP(D1004, productos!$A$2:$A$150, productos!$D$2:$D$150, "No Encontrado", 0)</f>
        <v>13.54</v>
      </c>
      <c r="I1004">
        <f t="shared" si="15"/>
        <v>27.08</v>
      </c>
    </row>
    <row r="1005" spans="1:9" x14ac:dyDescent="0.25">
      <c r="A1005">
        <v>2184</v>
      </c>
      <c r="B1005" s="1">
        <v>45407</v>
      </c>
      <c r="C1005">
        <v>68</v>
      </c>
      <c r="D1005">
        <v>9</v>
      </c>
      <c r="E1005">
        <v>6</v>
      </c>
      <c r="F1005">
        <v>5</v>
      </c>
      <c r="G1005" t="s">
        <v>1044</v>
      </c>
      <c r="H1005">
        <f>_xlfn.XLOOKUP(D1005, productos!$A$2:$A$150, productos!$D$2:$D$150, "No Encontrado", 0)</f>
        <v>18.559999999999999</v>
      </c>
      <c r="I1005">
        <f t="shared" si="15"/>
        <v>111.35999999999999</v>
      </c>
    </row>
    <row r="1006" spans="1:9" x14ac:dyDescent="0.25">
      <c r="A1006">
        <v>2269</v>
      </c>
      <c r="B1006" s="1">
        <v>45407</v>
      </c>
      <c r="C1006">
        <v>13</v>
      </c>
      <c r="D1006">
        <v>24</v>
      </c>
      <c r="E1006">
        <v>6</v>
      </c>
      <c r="F1006">
        <v>1</v>
      </c>
      <c r="G1006" t="s">
        <v>1044</v>
      </c>
      <c r="H1006">
        <f>_xlfn.XLOOKUP(D1006, productos!$A$2:$A$150, productos!$D$2:$D$150, "No Encontrado", 0)</f>
        <v>13.54</v>
      </c>
      <c r="I1006">
        <f t="shared" si="15"/>
        <v>81.239999999999995</v>
      </c>
    </row>
    <row r="1007" spans="1:9" x14ac:dyDescent="0.25">
      <c r="A1007">
        <v>2615</v>
      </c>
      <c r="B1007" s="1">
        <v>45407</v>
      </c>
      <c r="C1007">
        <v>277</v>
      </c>
      <c r="D1007">
        <v>16</v>
      </c>
      <c r="E1007">
        <v>4</v>
      </c>
      <c r="F1007">
        <v>5</v>
      </c>
      <c r="G1007" t="s">
        <v>1044</v>
      </c>
      <c r="H1007">
        <f>_xlfn.XLOOKUP(D1007, productos!$A$2:$A$150, productos!$D$2:$D$150, "No Encontrado", 0)</f>
        <v>15.23</v>
      </c>
      <c r="I1007">
        <f t="shared" si="15"/>
        <v>60.92</v>
      </c>
    </row>
    <row r="1008" spans="1:9" x14ac:dyDescent="0.25">
      <c r="A1008">
        <v>2974</v>
      </c>
      <c r="B1008" s="1">
        <v>45407</v>
      </c>
      <c r="C1008">
        <v>315</v>
      </c>
      <c r="D1008">
        <v>17</v>
      </c>
      <c r="E1008">
        <v>4</v>
      </c>
      <c r="F1008">
        <v>3</v>
      </c>
      <c r="G1008" t="s">
        <v>1044</v>
      </c>
      <c r="H1008">
        <f>_xlfn.XLOOKUP(D1008, productos!$A$2:$A$150, productos!$D$2:$D$150, "No Encontrado", 0)</f>
        <v>6.54</v>
      </c>
      <c r="I1008">
        <f t="shared" si="15"/>
        <v>26.16</v>
      </c>
    </row>
    <row r="1009" spans="1:9" x14ac:dyDescent="0.25">
      <c r="A1009">
        <v>617</v>
      </c>
      <c r="B1009" s="1">
        <v>45408</v>
      </c>
      <c r="C1009">
        <v>313</v>
      </c>
      <c r="D1009">
        <v>8</v>
      </c>
      <c r="E1009">
        <v>6</v>
      </c>
      <c r="F1009">
        <v>1</v>
      </c>
      <c r="G1009" t="s">
        <v>1044</v>
      </c>
      <c r="H1009">
        <f>_xlfn.XLOOKUP(D1009, productos!$A$2:$A$150, productos!$D$2:$D$150, "No Encontrado", 0)</f>
        <v>16.21</v>
      </c>
      <c r="I1009">
        <f t="shared" si="15"/>
        <v>97.26</v>
      </c>
    </row>
    <row r="1010" spans="1:9" x14ac:dyDescent="0.25">
      <c r="A1010">
        <v>763</v>
      </c>
      <c r="B1010" s="1">
        <v>45408</v>
      </c>
      <c r="C1010">
        <v>254</v>
      </c>
      <c r="D1010">
        <v>27</v>
      </c>
      <c r="E1010">
        <v>2</v>
      </c>
      <c r="F1010">
        <v>3</v>
      </c>
      <c r="G1010" t="s">
        <v>1044</v>
      </c>
      <c r="H1010">
        <f>_xlfn.XLOOKUP(D1010, productos!$A$2:$A$150, productos!$D$2:$D$150, "No Encontrado", 0)</f>
        <v>6.21</v>
      </c>
      <c r="I1010">
        <f t="shared" si="15"/>
        <v>12.42</v>
      </c>
    </row>
    <row r="1011" spans="1:9" x14ac:dyDescent="0.25">
      <c r="A1011">
        <v>826</v>
      </c>
      <c r="B1011" s="1">
        <v>45408</v>
      </c>
      <c r="C1011">
        <v>137</v>
      </c>
      <c r="D1011">
        <v>26</v>
      </c>
      <c r="E1011">
        <v>5</v>
      </c>
      <c r="F1011">
        <v>4</v>
      </c>
      <c r="G1011" t="s">
        <v>1044</v>
      </c>
      <c r="H1011">
        <f>_xlfn.XLOOKUP(D1011, productos!$A$2:$A$150, productos!$D$2:$D$150, "No Encontrado", 0)</f>
        <v>9.5399999999999991</v>
      </c>
      <c r="I1011">
        <f t="shared" si="15"/>
        <v>47.699999999999996</v>
      </c>
    </row>
    <row r="1012" spans="1:9" x14ac:dyDescent="0.25">
      <c r="A1012">
        <v>1616</v>
      </c>
      <c r="B1012" s="1">
        <v>45408</v>
      </c>
      <c r="C1012">
        <v>144</v>
      </c>
      <c r="D1012">
        <v>34</v>
      </c>
      <c r="E1012">
        <v>1</v>
      </c>
      <c r="F1012">
        <v>1</v>
      </c>
      <c r="G1012" t="s">
        <v>1044</v>
      </c>
      <c r="H1012">
        <f>_xlfn.XLOOKUP(D1012, productos!$A$2:$A$150, productos!$D$2:$D$150, "No Encontrado", 0)</f>
        <v>5.45</v>
      </c>
      <c r="I1012">
        <f t="shared" si="15"/>
        <v>5.45</v>
      </c>
    </row>
    <row r="1013" spans="1:9" x14ac:dyDescent="0.25">
      <c r="A1013">
        <v>1621</v>
      </c>
      <c r="B1013" s="1">
        <v>45408</v>
      </c>
      <c r="C1013">
        <v>193</v>
      </c>
      <c r="D1013">
        <v>2</v>
      </c>
      <c r="E1013">
        <v>2</v>
      </c>
      <c r="F1013">
        <v>1</v>
      </c>
      <c r="G1013" t="s">
        <v>1044</v>
      </c>
      <c r="H1013">
        <f>_xlfn.XLOOKUP(D1013, productos!$A$2:$A$150, productos!$D$2:$D$150, "No Encontrado", 0)</f>
        <v>5.21</v>
      </c>
      <c r="I1013">
        <f t="shared" si="15"/>
        <v>10.42</v>
      </c>
    </row>
    <row r="1014" spans="1:9" x14ac:dyDescent="0.25">
      <c r="A1014">
        <v>1733</v>
      </c>
      <c r="B1014" s="1">
        <v>45408</v>
      </c>
      <c r="C1014">
        <v>185</v>
      </c>
      <c r="D1014">
        <v>10</v>
      </c>
      <c r="E1014">
        <v>5</v>
      </c>
      <c r="F1014">
        <v>5</v>
      </c>
      <c r="G1014" t="s">
        <v>1044</v>
      </c>
      <c r="H1014">
        <f>_xlfn.XLOOKUP(D1014, productos!$A$2:$A$150, productos!$D$2:$D$150, "No Encontrado", 0)</f>
        <v>14.25</v>
      </c>
      <c r="I1014">
        <f t="shared" si="15"/>
        <v>71.25</v>
      </c>
    </row>
    <row r="1015" spans="1:9" x14ac:dyDescent="0.25">
      <c r="A1015">
        <v>2117</v>
      </c>
      <c r="B1015" s="1">
        <v>45408</v>
      </c>
      <c r="C1015">
        <v>82</v>
      </c>
      <c r="D1015">
        <v>12</v>
      </c>
      <c r="E1015">
        <v>2</v>
      </c>
      <c r="F1015">
        <v>5</v>
      </c>
      <c r="G1015" t="s">
        <v>1044</v>
      </c>
      <c r="H1015">
        <f>_xlfn.XLOOKUP(D1015, productos!$A$2:$A$150, productos!$D$2:$D$150, "No Encontrado", 0)</f>
        <v>8.1199999999999992</v>
      </c>
      <c r="I1015">
        <f t="shared" si="15"/>
        <v>16.239999999999998</v>
      </c>
    </row>
    <row r="1016" spans="1:9" x14ac:dyDescent="0.25">
      <c r="A1016">
        <v>2554</v>
      </c>
      <c r="B1016" s="1">
        <v>45408</v>
      </c>
      <c r="C1016">
        <v>306</v>
      </c>
      <c r="D1016">
        <v>36</v>
      </c>
      <c r="E1016">
        <v>1</v>
      </c>
      <c r="F1016">
        <v>4</v>
      </c>
      <c r="G1016" t="s">
        <v>1044</v>
      </c>
      <c r="H1016">
        <f>_xlfn.XLOOKUP(D1016, productos!$A$2:$A$150, productos!$D$2:$D$150, "No Encontrado", 0)</f>
        <v>3.25</v>
      </c>
      <c r="I1016">
        <f t="shared" si="15"/>
        <v>3.25</v>
      </c>
    </row>
    <row r="1017" spans="1:9" x14ac:dyDescent="0.25">
      <c r="A1017">
        <v>2741</v>
      </c>
      <c r="B1017" s="1">
        <v>45408</v>
      </c>
      <c r="C1017">
        <v>48</v>
      </c>
      <c r="D1017">
        <v>25</v>
      </c>
      <c r="E1017">
        <v>5</v>
      </c>
      <c r="F1017">
        <v>5</v>
      </c>
      <c r="G1017" t="s">
        <v>1044</v>
      </c>
      <c r="H1017">
        <f>_xlfn.XLOOKUP(D1017, productos!$A$2:$A$150, productos!$D$2:$D$150, "No Encontrado", 0)</f>
        <v>15.45</v>
      </c>
      <c r="I1017">
        <f t="shared" si="15"/>
        <v>77.25</v>
      </c>
    </row>
    <row r="1018" spans="1:9" x14ac:dyDescent="0.25">
      <c r="A1018">
        <v>842</v>
      </c>
      <c r="B1018" s="1">
        <v>45409</v>
      </c>
      <c r="C1018">
        <v>307</v>
      </c>
      <c r="D1018">
        <v>14</v>
      </c>
      <c r="E1018">
        <v>4</v>
      </c>
      <c r="F1018">
        <v>4</v>
      </c>
      <c r="G1018" t="s">
        <v>1044</v>
      </c>
      <c r="H1018">
        <f>_xlfn.XLOOKUP(D1018, productos!$A$2:$A$150, productos!$D$2:$D$150, "No Encontrado", 0)</f>
        <v>12.36</v>
      </c>
      <c r="I1018">
        <f t="shared" si="15"/>
        <v>49.44</v>
      </c>
    </row>
    <row r="1019" spans="1:9" x14ac:dyDescent="0.25">
      <c r="A1019">
        <v>889</v>
      </c>
      <c r="B1019" s="1">
        <v>45409</v>
      </c>
      <c r="C1019">
        <v>51</v>
      </c>
      <c r="D1019">
        <v>17</v>
      </c>
      <c r="E1019">
        <v>2</v>
      </c>
      <c r="F1019">
        <v>5</v>
      </c>
      <c r="G1019" t="s">
        <v>1044</v>
      </c>
      <c r="H1019">
        <f>_xlfn.XLOOKUP(D1019, productos!$A$2:$A$150, productos!$D$2:$D$150, "No Encontrado", 0)</f>
        <v>6.54</v>
      </c>
      <c r="I1019">
        <f t="shared" si="15"/>
        <v>13.08</v>
      </c>
    </row>
    <row r="1020" spans="1:9" x14ac:dyDescent="0.25">
      <c r="A1020">
        <v>1128</v>
      </c>
      <c r="B1020" s="1">
        <v>45409</v>
      </c>
      <c r="C1020">
        <v>59</v>
      </c>
      <c r="D1020">
        <v>20</v>
      </c>
      <c r="E1020">
        <v>3</v>
      </c>
      <c r="F1020">
        <v>5</v>
      </c>
      <c r="G1020" t="s">
        <v>1044</v>
      </c>
      <c r="H1020">
        <f>_xlfn.XLOOKUP(D1020, productos!$A$2:$A$150, productos!$D$2:$D$150, "No Encontrado", 0)</f>
        <v>4.25</v>
      </c>
      <c r="I1020">
        <f t="shared" si="15"/>
        <v>12.75</v>
      </c>
    </row>
    <row r="1021" spans="1:9" x14ac:dyDescent="0.25">
      <c r="A1021">
        <v>1266</v>
      </c>
      <c r="B1021" s="1">
        <v>45409</v>
      </c>
      <c r="C1021">
        <v>70</v>
      </c>
      <c r="D1021">
        <v>21</v>
      </c>
      <c r="E1021">
        <v>6</v>
      </c>
      <c r="F1021">
        <v>4</v>
      </c>
      <c r="G1021" t="s">
        <v>1044</v>
      </c>
      <c r="H1021">
        <f>_xlfn.XLOOKUP(D1021, productos!$A$2:$A$150, productos!$D$2:$D$150, "No Encontrado", 0)</f>
        <v>3.25</v>
      </c>
      <c r="I1021">
        <f t="shared" si="15"/>
        <v>19.5</v>
      </c>
    </row>
    <row r="1022" spans="1:9" x14ac:dyDescent="0.25">
      <c r="A1022">
        <v>1505</v>
      </c>
      <c r="B1022" s="1">
        <v>45409</v>
      </c>
      <c r="C1022">
        <v>13</v>
      </c>
      <c r="D1022">
        <v>8</v>
      </c>
      <c r="E1022">
        <v>5</v>
      </c>
      <c r="F1022">
        <v>4</v>
      </c>
      <c r="G1022" t="s">
        <v>1044</v>
      </c>
      <c r="H1022">
        <f>_xlfn.XLOOKUP(D1022, productos!$A$2:$A$150, productos!$D$2:$D$150, "No Encontrado", 0)</f>
        <v>16.21</v>
      </c>
      <c r="I1022">
        <f t="shared" si="15"/>
        <v>81.050000000000011</v>
      </c>
    </row>
    <row r="1023" spans="1:9" x14ac:dyDescent="0.25">
      <c r="A1023">
        <v>1572</v>
      </c>
      <c r="B1023" s="1">
        <v>45409</v>
      </c>
      <c r="C1023">
        <v>314</v>
      </c>
      <c r="D1023">
        <v>24</v>
      </c>
      <c r="E1023">
        <v>1</v>
      </c>
      <c r="F1023">
        <v>4</v>
      </c>
      <c r="G1023" t="s">
        <v>1044</v>
      </c>
      <c r="H1023">
        <f>_xlfn.XLOOKUP(D1023, productos!$A$2:$A$150, productos!$D$2:$D$150, "No Encontrado", 0)</f>
        <v>13.54</v>
      </c>
      <c r="I1023">
        <f t="shared" si="15"/>
        <v>13.54</v>
      </c>
    </row>
    <row r="1024" spans="1:9" x14ac:dyDescent="0.25">
      <c r="A1024">
        <v>2169</v>
      </c>
      <c r="B1024" s="1">
        <v>45409</v>
      </c>
      <c r="C1024">
        <v>284</v>
      </c>
      <c r="D1024">
        <v>38</v>
      </c>
      <c r="E1024">
        <v>6</v>
      </c>
      <c r="F1024">
        <v>4</v>
      </c>
      <c r="G1024" t="s">
        <v>1044</v>
      </c>
      <c r="H1024">
        <f>_xlfn.XLOOKUP(D1024, productos!$A$2:$A$150, productos!$D$2:$D$150, "No Encontrado", 0)</f>
        <v>6.21</v>
      </c>
      <c r="I1024">
        <f t="shared" si="15"/>
        <v>37.26</v>
      </c>
    </row>
    <row r="1025" spans="1:9" x14ac:dyDescent="0.25">
      <c r="A1025">
        <v>2245</v>
      </c>
      <c r="B1025" s="1">
        <v>45409</v>
      </c>
      <c r="C1025">
        <v>167</v>
      </c>
      <c r="D1025">
        <v>22</v>
      </c>
      <c r="E1025">
        <v>4</v>
      </c>
      <c r="F1025">
        <v>3</v>
      </c>
      <c r="G1025" t="s">
        <v>1044</v>
      </c>
      <c r="H1025">
        <f>_xlfn.XLOOKUP(D1025, productos!$A$2:$A$150, productos!$D$2:$D$150, "No Encontrado", 0)</f>
        <v>4.21</v>
      </c>
      <c r="I1025">
        <f t="shared" si="15"/>
        <v>16.84</v>
      </c>
    </row>
    <row r="1026" spans="1:9" x14ac:dyDescent="0.25">
      <c r="A1026">
        <v>2281</v>
      </c>
      <c r="B1026" s="1">
        <v>45409</v>
      </c>
      <c r="C1026">
        <v>283</v>
      </c>
      <c r="D1026">
        <v>10</v>
      </c>
      <c r="E1026">
        <v>5</v>
      </c>
      <c r="F1026">
        <v>4</v>
      </c>
      <c r="G1026" t="s">
        <v>1045</v>
      </c>
      <c r="H1026">
        <f>_xlfn.XLOOKUP(D1026, productos!$A$2:$A$150, productos!$D$2:$D$150, "No Encontrado", 0)</f>
        <v>14.25</v>
      </c>
      <c r="I1026">
        <f t="shared" si="15"/>
        <v>71.25</v>
      </c>
    </row>
    <row r="1027" spans="1:9" x14ac:dyDescent="0.25">
      <c r="A1027">
        <v>592</v>
      </c>
      <c r="B1027" s="1">
        <v>45410</v>
      </c>
      <c r="C1027">
        <v>102</v>
      </c>
      <c r="D1027">
        <v>5</v>
      </c>
      <c r="E1027">
        <v>6</v>
      </c>
      <c r="F1027">
        <v>5</v>
      </c>
      <c r="G1027" t="s">
        <v>1045</v>
      </c>
      <c r="H1027">
        <f>_xlfn.XLOOKUP(D1027, productos!$A$2:$A$150, productos!$D$2:$D$150, "No Encontrado", 0)</f>
        <v>5.65</v>
      </c>
      <c r="I1027">
        <f t="shared" ref="I1027:I1090" si="16">E1027*H1027</f>
        <v>33.900000000000006</v>
      </c>
    </row>
    <row r="1028" spans="1:9" x14ac:dyDescent="0.25">
      <c r="A1028">
        <v>858</v>
      </c>
      <c r="B1028" s="1">
        <v>45410</v>
      </c>
      <c r="C1028">
        <v>67</v>
      </c>
      <c r="D1028">
        <v>1</v>
      </c>
      <c r="E1028">
        <v>4</v>
      </c>
      <c r="F1028">
        <v>3</v>
      </c>
      <c r="G1028" t="s">
        <v>1045</v>
      </c>
      <c r="H1028">
        <f>_xlfn.XLOOKUP(D1028, productos!$A$2:$A$150, productos!$D$2:$D$150, "No Encontrado", 0)</f>
        <v>12.24</v>
      </c>
      <c r="I1028">
        <f t="shared" si="16"/>
        <v>48.96</v>
      </c>
    </row>
    <row r="1029" spans="1:9" x14ac:dyDescent="0.25">
      <c r="A1029">
        <v>1689</v>
      </c>
      <c r="B1029" s="1">
        <v>45410</v>
      </c>
      <c r="C1029">
        <v>28</v>
      </c>
      <c r="D1029">
        <v>33</v>
      </c>
      <c r="E1029">
        <v>4</v>
      </c>
      <c r="F1029">
        <v>1</v>
      </c>
      <c r="G1029" t="s">
        <v>1044</v>
      </c>
      <c r="H1029">
        <f>_xlfn.XLOOKUP(D1029, productos!$A$2:$A$150, productos!$D$2:$D$150, "No Encontrado", 0)</f>
        <v>8.5399999999999991</v>
      </c>
      <c r="I1029">
        <f t="shared" si="16"/>
        <v>34.159999999999997</v>
      </c>
    </row>
    <row r="1030" spans="1:9" x14ac:dyDescent="0.25">
      <c r="A1030">
        <v>1988</v>
      </c>
      <c r="B1030" s="1">
        <v>45410</v>
      </c>
      <c r="C1030">
        <v>114</v>
      </c>
      <c r="D1030">
        <v>21</v>
      </c>
      <c r="E1030">
        <v>2</v>
      </c>
      <c r="F1030">
        <v>5</v>
      </c>
      <c r="G1030" t="s">
        <v>1044</v>
      </c>
      <c r="H1030">
        <f>_xlfn.XLOOKUP(D1030, productos!$A$2:$A$150, productos!$D$2:$D$150, "No Encontrado", 0)</f>
        <v>3.25</v>
      </c>
      <c r="I1030">
        <f t="shared" si="16"/>
        <v>6.5</v>
      </c>
    </row>
    <row r="1031" spans="1:9" x14ac:dyDescent="0.25">
      <c r="A1031">
        <v>2128</v>
      </c>
      <c r="B1031" s="1">
        <v>45410</v>
      </c>
      <c r="C1031">
        <v>314</v>
      </c>
      <c r="D1031">
        <v>35</v>
      </c>
      <c r="E1031">
        <v>1</v>
      </c>
      <c r="F1031">
        <v>1</v>
      </c>
      <c r="G1031" t="s">
        <v>1045</v>
      </c>
      <c r="H1031">
        <f>_xlfn.XLOOKUP(D1031, productos!$A$2:$A$150, productos!$D$2:$D$150, "No Encontrado", 0)</f>
        <v>4.25</v>
      </c>
      <c r="I1031">
        <f t="shared" si="16"/>
        <v>4.25</v>
      </c>
    </row>
    <row r="1032" spans="1:9" x14ac:dyDescent="0.25">
      <c r="A1032">
        <v>2539</v>
      </c>
      <c r="B1032" s="1">
        <v>45410</v>
      </c>
      <c r="C1032">
        <v>135</v>
      </c>
      <c r="D1032">
        <v>37</v>
      </c>
      <c r="E1032">
        <v>4</v>
      </c>
      <c r="F1032">
        <v>3</v>
      </c>
      <c r="G1032" t="s">
        <v>1044</v>
      </c>
      <c r="H1032">
        <f>_xlfn.XLOOKUP(D1032, productos!$A$2:$A$150, productos!$D$2:$D$150, "No Encontrado", 0)</f>
        <v>3.65</v>
      </c>
      <c r="I1032">
        <f t="shared" si="16"/>
        <v>14.6</v>
      </c>
    </row>
    <row r="1033" spans="1:9" x14ac:dyDescent="0.25">
      <c r="A1033">
        <v>2799</v>
      </c>
      <c r="B1033" s="1">
        <v>45410</v>
      </c>
      <c r="C1033">
        <v>217</v>
      </c>
      <c r="D1033">
        <v>2</v>
      </c>
      <c r="E1033">
        <v>1</v>
      </c>
      <c r="F1033">
        <v>5</v>
      </c>
      <c r="G1033" t="s">
        <v>1045</v>
      </c>
      <c r="H1033">
        <f>_xlfn.XLOOKUP(D1033, productos!$A$2:$A$150, productos!$D$2:$D$150, "No Encontrado", 0)</f>
        <v>5.21</v>
      </c>
      <c r="I1033">
        <f t="shared" si="16"/>
        <v>5.21</v>
      </c>
    </row>
    <row r="1034" spans="1:9" x14ac:dyDescent="0.25">
      <c r="A1034">
        <v>2851</v>
      </c>
      <c r="B1034" s="1">
        <v>45410</v>
      </c>
      <c r="C1034">
        <v>316</v>
      </c>
      <c r="D1034">
        <v>33</v>
      </c>
      <c r="E1034">
        <v>4</v>
      </c>
      <c r="F1034">
        <v>1</v>
      </c>
      <c r="G1034" t="s">
        <v>1044</v>
      </c>
      <c r="H1034">
        <f>_xlfn.XLOOKUP(D1034, productos!$A$2:$A$150, productos!$D$2:$D$150, "No Encontrado", 0)</f>
        <v>8.5399999999999991</v>
      </c>
      <c r="I1034">
        <f t="shared" si="16"/>
        <v>34.159999999999997</v>
      </c>
    </row>
    <row r="1035" spans="1:9" x14ac:dyDescent="0.25">
      <c r="A1035">
        <v>2957</v>
      </c>
      <c r="B1035" s="1">
        <v>45410</v>
      </c>
      <c r="C1035">
        <v>249</v>
      </c>
      <c r="D1035">
        <v>4</v>
      </c>
      <c r="E1035">
        <v>6</v>
      </c>
      <c r="F1035">
        <v>1</v>
      </c>
      <c r="G1035" t="s">
        <v>1044</v>
      </c>
      <c r="H1035">
        <f>_xlfn.XLOOKUP(D1035, productos!$A$2:$A$150, productos!$D$2:$D$150, "No Encontrado", 0)</f>
        <v>19.23</v>
      </c>
      <c r="I1035">
        <f t="shared" si="16"/>
        <v>115.38</v>
      </c>
    </row>
    <row r="1036" spans="1:9" x14ac:dyDescent="0.25">
      <c r="A1036">
        <v>1114</v>
      </c>
      <c r="B1036" s="1">
        <v>45411</v>
      </c>
      <c r="C1036">
        <v>47</v>
      </c>
      <c r="D1036">
        <v>38</v>
      </c>
      <c r="E1036">
        <v>6</v>
      </c>
      <c r="F1036">
        <v>4</v>
      </c>
      <c r="G1036" t="s">
        <v>1044</v>
      </c>
      <c r="H1036">
        <f>_xlfn.XLOOKUP(D1036, productos!$A$2:$A$150, productos!$D$2:$D$150, "No Encontrado", 0)</f>
        <v>6.21</v>
      </c>
      <c r="I1036">
        <f t="shared" si="16"/>
        <v>37.26</v>
      </c>
    </row>
    <row r="1037" spans="1:9" x14ac:dyDescent="0.25">
      <c r="A1037">
        <v>1115</v>
      </c>
      <c r="B1037" s="1">
        <v>45411</v>
      </c>
      <c r="C1037">
        <v>159</v>
      </c>
      <c r="D1037">
        <v>1</v>
      </c>
      <c r="E1037">
        <v>6</v>
      </c>
      <c r="F1037">
        <v>2</v>
      </c>
      <c r="G1037" t="s">
        <v>1044</v>
      </c>
      <c r="H1037">
        <f>_xlfn.XLOOKUP(D1037, productos!$A$2:$A$150, productos!$D$2:$D$150, "No Encontrado", 0)</f>
        <v>12.24</v>
      </c>
      <c r="I1037">
        <f t="shared" si="16"/>
        <v>73.44</v>
      </c>
    </row>
    <row r="1038" spans="1:9" x14ac:dyDescent="0.25">
      <c r="A1038">
        <v>1207</v>
      </c>
      <c r="B1038" s="1">
        <v>45411</v>
      </c>
      <c r="C1038">
        <v>159</v>
      </c>
      <c r="D1038">
        <v>11</v>
      </c>
      <c r="E1038">
        <v>4</v>
      </c>
      <c r="F1038">
        <v>4</v>
      </c>
      <c r="G1038" t="s">
        <v>1044</v>
      </c>
      <c r="H1038">
        <f>_xlfn.XLOOKUP(D1038, productos!$A$2:$A$150, productos!$D$2:$D$150, "No Encontrado", 0)</f>
        <v>11.23</v>
      </c>
      <c r="I1038">
        <f t="shared" si="16"/>
        <v>44.92</v>
      </c>
    </row>
    <row r="1039" spans="1:9" x14ac:dyDescent="0.25">
      <c r="A1039">
        <v>1211</v>
      </c>
      <c r="B1039" s="1">
        <v>45411</v>
      </c>
      <c r="C1039">
        <v>104</v>
      </c>
      <c r="D1039">
        <v>4</v>
      </c>
      <c r="E1039">
        <v>5</v>
      </c>
      <c r="F1039">
        <v>5</v>
      </c>
      <c r="G1039" t="s">
        <v>1044</v>
      </c>
      <c r="H1039">
        <f>_xlfn.XLOOKUP(D1039, productos!$A$2:$A$150, productos!$D$2:$D$150, "No Encontrado", 0)</f>
        <v>19.23</v>
      </c>
      <c r="I1039">
        <f t="shared" si="16"/>
        <v>96.15</v>
      </c>
    </row>
    <row r="1040" spans="1:9" x14ac:dyDescent="0.25">
      <c r="A1040">
        <v>1552</v>
      </c>
      <c r="B1040" s="1">
        <v>45411</v>
      </c>
      <c r="C1040">
        <v>21</v>
      </c>
      <c r="D1040">
        <v>6</v>
      </c>
      <c r="E1040">
        <v>6</v>
      </c>
      <c r="F1040">
        <v>1</v>
      </c>
      <c r="G1040" t="s">
        <v>1044</v>
      </c>
      <c r="H1040">
        <f>_xlfn.XLOOKUP(D1040, productos!$A$2:$A$150, productos!$D$2:$D$150, "No Encontrado", 0)</f>
        <v>28.56</v>
      </c>
      <c r="I1040">
        <f t="shared" si="16"/>
        <v>171.35999999999999</v>
      </c>
    </row>
    <row r="1041" spans="1:9" x14ac:dyDescent="0.25">
      <c r="A1041">
        <v>1889</v>
      </c>
      <c r="B1041" s="1">
        <v>45411</v>
      </c>
      <c r="C1041">
        <v>237</v>
      </c>
      <c r="D1041">
        <v>1</v>
      </c>
      <c r="E1041">
        <v>4</v>
      </c>
      <c r="F1041">
        <v>1</v>
      </c>
      <c r="G1041" t="s">
        <v>1044</v>
      </c>
      <c r="H1041">
        <f>_xlfn.XLOOKUP(D1041, productos!$A$2:$A$150, productos!$D$2:$D$150, "No Encontrado", 0)</f>
        <v>12.24</v>
      </c>
      <c r="I1041">
        <f t="shared" si="16"/>
        <v>48.96</v>
      </c>
    </row>
    <row r="1042" spans="1:9" x14ac:dyDescent="0.25">
      <c r="A1042">
        <v>1952</v>
      </c>
      <c r="B1042" s="1">
        <v>45411</v>
      </c>
      <c r="C1042">
        <v>190</v>
      </c>
      <c r="D1042">
        <v>19</v>
      </c>
      <c r="E1042">
        <v>4</v>
      </c>
      <c r="F1042">
        <v>5</v>
      </c>
      <c r="G1042" t="s">
        <v>1045</v>
      </c>
      <c r="H1042">
        <f>_xlfn.XLOOKUP(D1042, productos!$A$2:$A$150, productos!$D$2:$D$150, "No Encontrado", 0)</f>
        <v>6.54</v>
      </c>
      <c r="I1042">
        <f t="shared" si="16"/>
        <v>26.16</v>
      </c>
    </row>
    <row r="1043" spans="1:9" x14ac:dyDescent="0.25">
      <c r="A1043">
        <v>2105</v>
      </c>
      <c r="B1043" s="1">
        <v>45411</v>
      </c>
      <c r="C1043">
        <v>85</v>
      </c>
      <c r="D1043">
        <v>12</v>
      </c>
      <c r="E1043">
        <v>1</v>
      </c>
      <c r="F1043">
        <v>3</v>
      </c>
      <c r="G1043" t="s">
        <v>1045</v>
      </c>
      <c r="H1043">
        <f>_xlfn.XLOOKUP(D1043, productos!$A$2:$A$150, productos!$D$2:$D$150, "No Encontrado", 0)</f>
        <v>8.1199999999999992</v>
      </c>
      <c r="I1043">
        <f t="shared" si="16"/>
        <v>8.1199999999999992</v>
      </c>
    </row>
    <row r="1044" spans="1:9" x14ac:dyDescent="0.25">
      <c r="A1044">
        <v>2786</v>
      </c>
      <c r="B1044" s="1">
        <v>45411</v>
      </c>
      <c r="C1044">
        <v>106</v>
      </c>
      <c r="D1044">
        <v>7</v>
      </c>
      <c r="E1044">
        <v>6</v>
      </c>
      <c r="F1044">
        <v>1</v>
      </c>
      <c r="G1044" t="s">
        <v>1044</v>
      </c>
      <c r="H1044">
        <f>_xlfn.XLOOKUP(D1044, productos!$A$2:$A$150, productos!$D$2:$D$150, "No Encontrado", 0)</f>
        <v>11.25</v>
      </c>
      <c r="I1044">
        <f t="shared" si="16"/>
        <v>67.5</v>
      </c>
    </row>
    <row r="1045" spans="1:9" x14ac:dyDescent="0.25">
      <c r="A1045">
        <v>2999</v>
      </c>
      <c r="B1045" s="1">
        <v>45411</v>
      </c>
      <c r="C1045">
        <v>320</v>
      </c>
      <c r="D1045">
        <v>11</v>
      </c>
      <c r="E1045">
        <v>3</v>
      </c>
      <c r="F1045">
        <v>4</v>
      </c>
      <c r="G1045" t="s">
        <v>1044</v>
      </c>
      <c r="H1045">
        <f>_xlfn.XLOOKUP(D1045, productos!$A$2:$A$150, productos!$D$2:$D$150, "No Encontrado", 0)</f>
        <v>11.23</v>
      </c>
      <c r="I1045">
        <f t="shared" si="16"/>
        <v>33.69</v>
      </c>
    </row>
    <row r="1046" spans="1:9" x14ac:dyDescent="0.25">
      <c r="A1046">
        <v>353</v>
      </c>
      <c r="B1046" s="1">
        <v>45412</v>
      </c>
      <c r="C1046">
        <v>181</v>
      </c>
      <c r="D1046">
        <v>10</v>
      </c>
      <c r="E1046">
        <v>4</v>
      </c>
      <c r="F1046">
        <v>5</v>
      </c>
      <c r="G1046" t="s">
        <v>1044</v>
      </c>
      <c r="H1046">
        <f>_xlfn.XLOOKUP(D1046, productos!$A$2:$A$150, productos!$D$2:$D$150, "No Encontrado", 0)</f>
        <v>14.25</v>
      </c>
      <c r="I1046">
        <f t="shared" si="16"/>
        <v>57</v>
      </c>
    </row>
    <row r="1047" spans="1:9" x14ac:dyDescent="0.25">
      <c r="A1047">
        <v>625</v>
      </c>
      <c r="B1047" s="1">
        <v>45412</v>
      </c>
      <c r="C1047">
        <v>11</v>
      </c>
      <c r="D1047">
        <v>18</v>
      </c>
      <c r="E1047">
        <v>1</v>
      </c>
      <c r="F1047">
        <v>2</v>
      </c>
      <c r="G1047" t="s">
        <v>1044</v>
      </c>
      <c r="H1047">
        <f>_xlfn.XLOOKUP(D1047, productos!$A$2:$A$150, productos!$D$2:$D$150, "No Encontrado", 0)</f>
        <v>7.25</v>
      </c>
      <c r="I1047">
        <f t="shared" si="16"/>
        <v>7.25</v>
      </c>
    </row>
    <row r="1048" spans="1:9" x14ac:dyDescent="0.25">
      <c r="A1048">
        <v>898</v>
      </c>
      <c r="B1048" s="1">
        <v>45412</v>
      </c>
      <c r="C1048">
        <v>179</v>
      </c>
      <c r="D1048">
        <v>9</v>
      </c>
      <c r="E1048">
        <v>6</v>
      </c>
      <c r="F1048">
        <v>4</v>
      </c>
      <c r="G1048" t="s">
        <v>1044</v>
      </c>
      <c r="H1048">
        <f>_xlfn.XLOOKUP(D1048, productos!$A$2:$A$150, productos!$D$2:$D$150, "No Encontrado", 0)</f>
        <v>18.559999999999999</v>
      </c>
      <c r="I1048">
        <f t="shared" si="16"/>
        <v>111.35999999999999</v>
      </c>
    </row>
    <row r="1049" spans="1:9" x14ac:dyDescent="0.25">
      <c r="A1049">
        <v>1127</v>
      </c>
      <c r="B1049" s="1">
        <v>45412</v>
      </c>
      <c r="C1049">
        <v>136</v>
      </c>
      <c r="D1049">
        <v>6</v>
      </c>
      <c r="E1049">
        <v>2</v>
      </c>
      <c r="F1049">
        <v>4</v>
      </c>
      <c r="G1049" t="s">
        <v>1044</v>
      </c>
      <c r="H1049">
        <f>_xlfn.XLOOKUP(D1049, productos!$A$2:$A$150, productos!$D$2:$D$150, "No Encontrado", 0)</f>
        <v>28.56</v>
      </c>
      <c r="I1049">
        <f t="shared" si="16"/>
        <v>57.12</v>
      </c>
    </row>
    <row r="1050" spans="1:9" x14ac:dyDescent="0.25">
      <c r="A1050">
        <v>1238</v>
      </c>
      <c r="B1050" s="1">
        <v>45412</v>
      </c>
      <c r="C1050">
        <v>254</v>
      </c>
      <c r="D1050">
        <v>6</v>
      </c>
      <c r="E1050">
        <v>2</v>
      </c>
      <c r="F1050">
        <v>1</v>
      </c>
      <c r="G1050" t="s">
        <v>1045</v>
      </c>
      <c r="H1050">
        <f>_xlfn.XLOOKUP(D1050, productos!$A$2:$A$150, productos!$D$2:$D$150, "No Encontrado", 0)</f>
        <v>28.56</v>
      </c>
      <c r="I1050">
        <f t="shared" si="16"/>
        <v>57.12</v>
      </c>
    </row>
    <row r="1051" spans="1:9" x14ac:dyDescent="0.25">
      <c r="A1051">
        <v>1652</v>
      </c>
      <c r="B1051" s="1">
        <v>45412</v>
      </c>
      <c r="C1051">
        <v>106</v>
      </c>
      <c r="D1051">
        <v>19</v>
      </c>
      <c r="E1051">
        <v>4</v>
      </c>
      <c r="F1051">
        <v>3</v>
      </c>
      <c r="G1051" t="s">
        <v>1044</v>
      </c>
      <c r="H1051">
        <f>_xlfn.XLOOKUP(D1051, productos!$A$2:$A$150, productos!$D$2:$D$150, "No Encontrado", 0)</f>
        <v>6.54</v>
      </c>
      <c r="I1051">
        <f t="shared" si="16"/>
        <v>26.16</v>
      </c>
    </row>
    <row r="1052" spans="1:9" x14ac:dyDescent="0.25">
      <c r="A1052">
        <v>2222</v>
      </c>
      <c r="B1052" s="1">
        <v>45412</v>
      </c>
      <c r="C1052">
        <v>163</v>
      </c>
      <c r="D1052">
        <v>21</v>
      </c>
      <c r="E1052">
        <v>1</v>
      </c>
      <c r="F1052">
        <v>3</v>
      </c>
      <c r="G1052" t="s">
        <v>1044</v>
      </c>
      <c r="H1052">
        <f>_xlfn.XLOOKUP(D1052, productos!$A$2:$A$150, productos!$D$2:$D$150, "No Encontrado", 0)</f>
        <v>3.25</v>
      </c>
      <c r="I1052">
        <f t="shared" si="16"/>
        <v>3.25</v>
      </c>
    </row>
    <row r="1053" spans="1:9" x14ac:dyDescent="0.25">
      <c r="A1053">
        <v>2402</v>
      </c>
      <c r="B1053" s="1">
        <v>45412</v>
      </c>
      <c r="C1053">
        <v>90</v>
      </c>
      <c r="D1053">
        <v>16</v>
      </c>
      <c r="E1053">
        <v>6</v>
      </c>
      <c r="F1053">
        <v>2</v>
      </c>
      <c r="G1053" t="s">
        <v>1044</v>
      </c>
      <c r="H1053">
        <f>_xlfn.XLOOKUP(D1053, productos!$A$2:$A$150, productos!$D$2:$D$150, "No Encontrado", 0)</f>
        <v>15.23</v>
      </c>
      <c r="I1053">
        <f t="shared" si="16"/>
        <v>91.38</v>
      </c>
    </row>
    <row r="1054" spans="1:9" x14ac:dyDescent="0.25">
      <c r="A1054">
        <v>2495</v>
      </c>
      <c r="B1054" s="1">
        <v>45412</v>
      </c>
      <c r="C1054">
        <v>299</v>
      </c>
      <c r="D1054">
        <v>7</v>
      </c>
      <c r="E1054">
        <v>4</v>
      </c>
      <c r="F1054">
        <v>4</v>
      </c>
      <c r="G1054" t="s">
        <v>1044</v>
      </c>
      <c r="H1054">
        <f>_xlfn.XLOOKUP(D1054, productos!$A$2:$A$150, productos!$D$2:$D$150, "No Encontrado", 0)</f>
        <v>11.25</v>
      </c>
      <c r="I1054">
        <f t="shared" si="16"/>
        <v>45</v>
      </c>
    </row>
    <row r="1055" spans="1:9" x14ac:dyDescent="0.25">
      <c r="A1055">
        <v>419</v>
      </c>
      <c r="B1055" s="1">
        <v>45413</v>
      </c>
      <c r="C1055">
        <v>149</v>
      </c>
      <c r="D1055">
        <v>2</v>
      </c>
      <c r="E1055">
        <v>2</v>
      </c>
      <c r="F1055">
        <v>3</v>
      </c>
      <c r="G1055" t="s">
        <v>1044</v>
      </c>
      <c r="H1055">
        <f>_xlfn.XLOOKUP(D1055, productos!$A$2:$A$150, productos!$D$2:$D$150, "No Encontrado", 0)</f>
        <v>5.21</v>
      </c>
      <c r="I1055">
        <f t="shared" si="16"/>
        <v>10.42</v>
      </c>
    </row>
    <row r="1056" spans="1:9" x14ac:dyDescent="0.25">
      <c r="A1056">
        <v>659</v>
      </c>
      <c r="B1056" s="1">
        <v>45413</v>
      </c>
      <c r="C1056">
        <v>213</v>
      </c>
      <c r="D1056">
        <v>1</v>
      </c>
      <c r="E1056">
        <v>2</v>
      </c>
      <c r="F1056">
        <v>3</v>
      </c>
      <c r="G1056" t="s">
        <v>1044</v>
      </c>
      <c r="H1056">
        <f>_xlfn.XLOOKUP(D1056, productos!$A$2:$A$150, productos!$D$2:$D$150, "No Encontrado", 0)</f>
        <v>12.24</v>
      </c>
      <c r="I1056">
        <f t="shared" si="16"/>
        <v>24.48</v>
      </c>
    </row>
    <row r="1057" spans="1:9" x14ac:dyDescent="0.25">
      <c r="A1057">
        <v>1237</v>
      </c>
      <c r="B1057" s="1">
        <v>45413</v>
      </c>
      <c r="C1057">
        <v>247</v>
      </c>
      <c r="D1057">
        <v>37</v>
      </c>
      <c r="E1057">
        <v>6</v>
      </c>
      <c r="F1057">
        <v>4</v>
      </c>
      <c r="G1057" t="s">
        <v>1044</v>
      </c>
      <c r="H1057">
        <f>_xlfn.XLOOKUP(D1057, productos!$A$2:$A$150, productos!$D$2:$D$150, "No Encontrado", 0)</f>
        <v>3.65</v>
      </c>
      <c r="I1057">
        <f t="shared" si="16"/>
        <v>21.9</v>
      </c>
    </row>
    <row r="1058" spans="1:9" x14ac:dyDescent="0.25">
      <c r="A1058">
        <v>1247</v>
      </c>
      <c r="B1058" s="1">
        <v>45413</v>
      </c>
      <c r="C1058">
        <v>87</v>
      </c>
      <c r="D1058">
        <v>25</v>
      </c>
      <c r="E1058">
        <v>6</v>
      </c>
      <c r="F1058">
        <v>1</v>
      </c>
      <c r="G1058" t="s">
        <v>1044</v>
      </c>
      <c r="H1058">
        <f>_xlfn.XLOOKUP(D1058, productos!$A$2:$A$150, productos!$D$2:$D$150, "No Encontrado", 0)</f>
        <v>15.45</v>
      </c>
      <c r="I1058">
        <f t="shared" si="16"/>
        <v>92.699999999999989</v>
      </c>
    </row>
    <row r="1059" spans="1:9" x14ac:dyDescent="0.25">
      <c r="A1059">
        <v>1472</v>
      </c>
      <c r="B1059" s="1">
        <v>45413</v>
      </c>
      <c r="C1059">
        <v>1</v>
      </c>
      <c r="D1059">
        <v>12</v>
      </c>
      <c r="E1059">
        <v>2</v>
      </c>
      <c r="F1059">
        <v>3</v>
      </c>
      <c r="G1059" t="s">
        <v>1044</v>
      </c>
      <c r="H1059">
        <f>_xlfn.XLOOKUP(D1059, productos!$A$2:$A$150, productos!$D$2:$D$150, "No Encontrado", 0)</f>
        <v>8.1199999999999992</v>
      </c>
      <c r="I1059">
        <f t="shared" si="16"/>
        <v>16.239999999999998</v>
      </c>
    </row>
    <row r="1060" spans="1:9" x14ac:dyDescent="0.25">
      <c r="A1060">
        <v>1961</v>
      </c>
      <c r="B1060" s="1">
        <v>45413</v>
      </c>
      <c r="C1060">
        <v>177</v>
      </c>
      <c r="D1060">
        <v>35</v>
      </c>
      <c r="E1060">
        <v>3</v>
      </c>
      <c r="F1060">
        <v>5</v>
      </c>
      <c r="G1060" t="s">
        <v>1044</v>
      </c>
      <c r="H1060">
        <f>_xlfn.XLOOKUP(D1060, productos!$A$2:$A$150, productos!$D$2:$D$150, "No Encontrado", 0)</f>
        <v>4.25</v>
      </c>
      <c r="I1060">
        <f t="shared" si="16"/>
        <v>12.75</v>
      </c>
    </row>
    <row r="1061" spans="1:9" x14ac:dyDescent="0.25">
      <c r="A1061">
        <v>1986</v>
      </c>
      <c r="B1061" s="1">
        <v>45413</v>
      </c>
      <c r="C1061">
        <v>278</v>
      </c>
      <c r="D1061">
        <v>17</v>
      </c>
      <c r="E1061">
        <v>6</v>
      </c>
      <c r="F1061">
        <v>5</v>
      </c>
      <c r="G1061" t="s">
        <v>1044</v>
      </c>
      <c r="H1061">
        <f>_xlfn.XLOOKUP(D1061, productos!$A$2:$A$150, productos!$D$2:$D$150, "No Encontrado", 0)</f>
        <v>6.54</v>
      </c>
      <c r="I1061">
        <f t="shared" si="16"/>
        <v>39.24</v>
      </c>
    </row>
    <row r="1062" spans="1:9" x14ac:dyDescent="0.25">
      <c r="A1062">
        <v>2659</v>
      </c>
      <c r="B1062" s="1">
        <v>45413</v>
      </c>
      <c r="C1062">
        <v>274</v>
      </c>
      <c r="D1062">
        <v>13</v>
      </c>
      <c r="E1062">
        <v>5</v>
      </c>
      <c r="F1062">
        <v>4</v>
      </c>
      <c r="G1062" t="s">
        <v>1044</v>
      </c>
      <c r="H1062">
        <f>_xlfn.XLOOKUP(D1062, productos!$A$2:$A$150, productos!$D$2:$D$150, "No Encontrado", 0)</f>
        <v>12.56</v>
      </c>
      <c r="I1062">
        <f t="shared" si="16"/>
        <v>62.800000000000004</v>
      </c>
    </row>
    <row r="1063" spans="1:9" x14ac:dyDescent="0.25">
      <c r="A1063">
        <v>2890</v>
      </c>
      <c r="B1063" s="1">
        <v>45413</v>
      </c>
      <c r="C1063">
        <v>156</v>
      </c>
      <c r="D1063">
        <v>8</v>
      </c>
      <c r="E1063">
        <v>5</v>
      </c>
      <c r="F1063">
        <v>4</v>
      </c>
      <c r="G1063" t="s">
        <v>1044</v>
      </c>
      <c r="H1063">
        <f>_xlfn.XLOOKUP(D1063, productos!$A$2:$A$150, productos!$D$2:$D$150, "No Encontrado", 0)</f>
        <v>16.21</v>
      </c>
      <c r="I1063">
        <f t="shared" si="16"/>
        <v>81.050000000000011</v>
      </c>
    </row>
    <row r="1064" spans="1:9" x14ac:dyDescent="0.25">
      <c r="A1064">
        <v>1609</v>
      </c>
      <c r="B1064" s="1">
        <v>45414</v>
      </c>
      <c r="C1064">
        <v>286</v>
      </c>
      <c r="D1064">
        <v>15</v>
      </c>
      <c r="E1064">
        <v>3</v>
      </c>
      <c r="F1064">
        <v>2</v>
      </c>
      <c r="G1064" t="s">
        <v>1044</v>
      </c>
      <c r="H1064">
        <f>_xlfn.XLOOKUP(D1064, productos!$A$2:$A$150, productos!$D$2:$D$150, "No Encontrado", 0)</f>
        <v>3.51</v>
      </c>
      <c r="I1064">
        <f t="shared" si="16"/>
        <v>10.53</v>
      </c>
    </row>
    <row r="1065" spans="1:9" x14ac:dyDescent="0.25">
      <c r="A1065">
        <v>1926</v>
      </c>
      <c r="B1065" s="1">
        <v>45414</v>
      </c>
      <c r="C1065">
        <v>55</v>
      </c>
      <c r="D1065">
        <v>33</v>
      </c>
      <c r="E1065">
        <v>1</v>
      </c>
      <c r="F1065">
        <v>4</v>
      </c>
      <c r="G1065" t="s">
        <v>1044</v>
      </c>
      <c r="H1065">
        <f>_xlfn.XLOOKUP(D1065, productos!$A$2:$A$150, productos!$D$2:$D$150, "No Encontrado", 0)</f>
        <v>8.5399999999999991</v>
      </c>
      <c r="I1065">
        <f t="shared" si="16"/>
        <v>8.5399999999999991</v>
      </c>
    </row>
    <row r="1066" spans="1:9" x14ac:dyDescent="0.25">
      <c r="A1066">
        <v>2810</v>
      </c>
      <c r="B1066" s="1">
        <v>45414</v>
      </c>
      <c r="C1066">
        <v>314</v>
      </c>
      <c r="D1066">
        <v>12</v>
      </c>
      <c r="E1066">
        <v>2</v>
      </c>
      <c r="F1066">
        <v>1</v>
      </c>
      <c r="G1066" t="s">
        <v>1045</v>
      </c>
      <c r="H1066">
        <f>_xlfn.XLOOKUP(D1066, productos!$A$2:$A$150, productos!$D$2:$D$150, "No Encontrado", 0)</f>
        <v>8.1199999999999992</v>
      </c>
      <c r="I1066">
        <f t="shared" si="16"/>
        <v>16.239999999999998</v>
      </c>
    </row>
    <row r="1067" spans="1:9" x14ac:dyDescent="0.25">
      <c r="A1067">
        <v>2826</v>
      </c>
      <c r="B1067" s="1">
        <v>45414</v>
      </c>
      <c r="C1067">
        <v>323</v>
      </c>
      <c r="D1067">
        <v>34</v>
      </c>
      <c r="E1067">
        <v>1</v>
      </c>
      <c r="F1067">
        <v>5</v>
      </c>
      <c r="G1067" t="s">
        <v>1044</v>
      </c>
      <c r="H1067">
        <f>_xlfn.XLOOKUP(D1067, productos!$A$2:$A$150, productos!$D$2:$D$150, "No Encontrado", 0)</f>
        <v>5.45</v>
      </c>
      <c r="I1067">
        <f t="shared" si="16"/>
        <v>5.45</v>
      </c>
    </row>
    <row r="1068" spans="1:9" x14ac:dyDescent="0.25">
      <c r="A1068">
        <v>2883</v>
      </c>
      <c r="B1068" s="1">
        <v>45414</v>
      </c>
      <c r="C1068">
        <v>251</v>
      </c>
      <c r="D1068">
        <v>5</v>
      </c>
      <c r="E1068">
        <v>1</v>
      </c>
      <c r="F1068">
        <v>5</v>
      </c>
      <c r="G1068" t="s">
        <v>1044</v>
      </c>
      <c r="H1068">
        <f>_xlfn.XLOOKUP(D1068, productos!$A$2:$A$150, productos!$D$2:$D$150, "No Encontrado", 0)</f>
        <v>5.65</v>
      </c>
      <c r="I1068">
        <f t="shared" si="16"/>
        <v>5.65</v>
      </c>
    </row>
    <row r="1069" spans="1:9" x14ac:dyDescent="0.25">
      <c r="A1069">
        <v>2938</v>
      </c>
      <c r="B1069" s="1">
        <v>45414</v>
      </c>
      <c r="C1069">
        <v>12</v>
      </c>
      <c r="D1069">
        <v>31</v>
      </c>
      <c r="E1069">
        <v>5</v>
      </c>
      <c r="F1069">
        <v>4</v>
      </c>
      <c r="G1069" t="s">
        <v>1044</v>
      </c>
      <c r="H1069">
        <f>_xlfn.XLOOKUP(D1069, productos!$A$2:$A$150, productos!$D$2:$D$150, "No Encontrado", 0)</f>
        <v>5.24</v>
      </c>
      <c r="I1069">
        <f t="shared" si="16"/>
        <v>26.200000000000003</v>
      </c>
    </row>
    <row r="1070" spans="1:9" x14ac:dyDescent="0.25">
      <c r="A1070">
        <v>472</v>
      </c>
      <c r="B1070" s="1">
        <v>45415</v>
      </c>
      <c r="C1070">
        <v>123</v>
      </c>
      <c r="D1070">
        <v>33</v>
      </c>
      <c r="E1070">
        <v>4</v>
      </c>
      <c r="F1070">
        <v>3</v>
      </c>
      <c r="G1070" t="s">
        <v>1044</v>
      </c>
      <c r="H1070">
        <f>_xlfn.XLOOKUP(D1070, productos!$A$2:$A$150, productos!$D$2:$D$150, "No Encontrado", 0)</f>
        <v>8.5399999999999991</v>
      </c>
      <c r="I1070">
        <f t="shared" si="16"/>
        <v>34.159999999999997</v>
      </c>
    </row>
    <row r="1071" spans="1:9" x14ac:dyDescent="0.25">
      <c r="A1071">
        <v>1274</v>
      </c>
      <c r="B1071" s="1">
        <v>45415</v>
      </c>
      <c r="C1071">
        <v>187</v>
      </c>
      <c r="D1071">
        <v>17</v>
      </c>
      <c r="E1071">
        <v>4</v>
      </c>
      <c r="F1071">
        <v>1</v>
      </c>
      <c r="G1071" t="s">
        <v>1044</v>
      </c>
      <c r="H1071">
        <f>_xlfn.XLOOKUP(D1071, productos!$A$2:$A$150, productos!$D$2:$D$150, "No Encontrado", 0)</f>
        <v>6.54</v>
      </c>
      <c r="I1071">
        <f t="shared" si="16"/>
        <v>26.16</v>
      </c>
    </row>
    <row r="1072" spans="1:9" x14ac:dyDescent="0.25">
      <c r="A1072">
        <v>1655</v>
      </c>
      <c r="B1072" s="1">
        <v>45415</v>
      </c>
      <c r="C1072">
        <v>293</v>
      </c>
      <c r="D1072">
        <v>27</v>
      </c>
      <c r="E1072">
        <v>5</v>
      </c>
      <c r="F1072">
        <v>4</v>
      </c>
      <c r="G1072" t="s">
        <v>1044</v>
      </c>
      <c r="H1072">
        <f>_xlfn.XLOOKUP(D1072, productos!$A$2:$A$150, productos!$D$2:$D$150, "No Encontrado", 0)</f>
        <v>6.21</v>
      </c>
      <c r="I1072">
        <f t="shared" si="16"/>
        <v>31.05</v>
      </c>
    </row>
    <row r="1073" spans="1:9" x14ac:dyDescent="0.25">
      <c r="A1073">
        <v>1774</v>
      </c>
      <c r="B1073" s="1">
        <v>45415</v>
      </c>
      <c r="C1073">
        <v>232</v>
      </c>
      <c r="D1073">
        <v>8</v>
      </c>
      <c r="E1073">
        <v>3</v>
      </c>
      <c r="F1073">
        <v>4</v>
      </c>
      <c r="G1073" t="s">
        <v>1044</v>
      </c>
      <c r="H1073">
        <f>_xlfn.XLOOKUP(D1073, productos!$A$2:$A$150, productos!$D$2:$D$150, "No Encontrado", 0)</f>
        <v>16.21</v>
      </c>
      <c r="I1073">
        <f t="shared" si="16"/>
        <v>48.63</v>
      </c>
    </row>
    <row r="1074" spans="1:9" x14ac:dyDescent="0.25">
      <c r="A1074">
        <v>2109</v>
      </c>
      <c r="B1074" s="1">
        <v>45415</v>
      </c>
      <c r="C1074">
        <v>284</v>
      </c>
      <c r="D1074">
        <v>1</v>
      </c>
      <c r="E1074">
        <v>2</v>
      </c>
      <c r="F1074">
        <v>1</v>
      </c>
      <c r="G1074" t="s">
        <v>1044</v>
      </c>
      <c r="H1074">
        <f>_xlfn.XLOOKUP(D1074, productos!$A$2:$A$150, productos!$D$2:$D$150, "No Encontrado", 0)</f>
        <v>12.24</v>
      </c>
      <c r="I1074">
        <f t="shared" si="16"/>
        <v>24.48</v>
      </c>
    </row>
    <row r="1075" spans="1:9" x14ac:dyDescent="0.25">
      <c r="A1075">
        <v>2388</v>
      </c>
      <c r="B1075" s="1">
        <v>45415</v>
      </c>
      <c r="C1075">
        <v>128</v>
      </c>
      <c r="D1075">
        <v>37</v>
      </c>
      <c r="E1075">
        <v>2</v>
      </c>
      <c r="F1075">
        <v>5</v>
      </c>
      <c r="G1075" t="s">
        <v>1044</v>
      </c>
      <c r="H1075">
        <f>_xlfn.XLOOKUP(D1075, productos!$A$2:$A$150, productos!$D$2:$D$150, "No Encontrado", 0)</f>
        <v>3.65</v>
      </c>
      <c r="I1075">
        <f t="shared" si="16"/>
        <v>7.3</v>
      </c>
    </row>
    <row r="1076" spans="1:9" x14ac:dyDescent="0.25">
      <c r="A1076">
        <v>2898</v>
      </c>
      <c r="B1076" s="1">
        <v>45415</v>
      </c>
      <c r="C1076">
        <v>188</v>
      </c>
      <c r="D1076">
        <v>1</v>
      </c>
      <c r="E1076">
        <v>5</v>
      </c>
      <c r="F1076">
        <v>4</v>
      </c>
      <c r="G1076" t="s">
        <v>1044</v>
      </c>
      <c r="H1076">
        <f>_xlfn.XLOOKUP(D1076, productos!$A$2:$A$150, productos!$D$2:$D$150, "No Encontrado", 0)</f>
        <v>12.24</v>
      </c>
      <c r="I1076">
        <f t="shared" si="16"/>
        <v>61.2</v>
      </c>
    </row>
    <row r="1077" spans="1:9" x14ac:dyDescent="0.25">
      <c r="A1077">
        <v>2943</v>
      </c>
      <c r="B1077" s="1">
        <v>45415</v>
      </c>
      <c r="C1077">
        <v>181</v>
      </c>
      <c r="D1077">
        <v>17</v>
      </c>
      <c r="E1077">
        <v>3</v>
      </c>
      <c r="F1077">
        <v>1</v>
      </c>
      <c r="G1077" t="s">
        <v>1044</v>
      </c>
      <c r="H1077">
        <f>_xlfn.XLOOKUP(D1077, productos!$A$2:$A$150, productos!$D$2:$D$150, "No Encontrado", 0)</f>
        <v>6.54</v>
      </c>
      <c r="I1077">
        <f t="shared" si="16"/>
        <v>19.62</v>
      </c>
    </row>
    <row r="1078" spans="1:9" x14ac:dyDescent="0.25">
      <c r="A1078">
        <v>727</v>
      </c>
      <c r="B1078" s="1">
        <v>45416</v>
      </c>
      <c r="C1078">
        <v>241</v>
      </c>
      <c r="D1078">
        <v>4</v>
      </c>
      <c r="E1078">
        <v>6</v>
      </c>
      <c r="F1078">
        <v>3</v>
      </c>
      <c r="G1078" t="s">
        <v>1044</v>
      </c>
      <c r="H1078">
        <f>_xlfn.XLOOKUP(D1078, productos!$A$2:$A$150, productos!$D$2:$D$150, "No Encontrado", 0)</f>
        <v>19.23</v>
      </c>
      <c r="I1078">
        <f t="shared" si="16"/>
        <v>115.38</v>
      </c>
    </row>
    <row r="1079" spans="1:9" x14ac:dyDescent="0.25">
      <c r="A1079">
        <v>766</v>
      </c>
      <c r="B1079" s="1">
        <v>45416</v>
      </c>
      <c r="C1079">
        <v>166</v>
      </c>
      <c r="D1079">
        <v>8</v>
      </c>
      <c r="E1079">
        <v>6</v>
      </c>
      <c r="F1079">
        <v>3</v>
      </c>
      <c r="G1079" t="s">
        <v>1045</v>
      </c>
      <c r="H1079">
        <f>_xlfn.XLOOKUP(D1079, productos!$A$2:$A$150, productos!$D$2:$D$150, "No Encontrado", 0)</f>
        <v>16.21</v>
      </c>
      <c r="I1079">
        <f t="shared" si="16"/>
        <v>97.26</v>
      </c>
    </row>
    <row r="1080" spans="1:9" x14ac:dyDescent="0.25">
      <c r="A1080">
        <v>1613</v>
      </c>
      <c r="B1080" s="1">
        <v>45416</v>
      </c>
      <c r="C1080">
        <v>12</v>
      </c>
      <c r="D1080">
        <v>3</v>
      </c>
      <c r="E1080">
        <v>5</v>
      </c>
      <c r="F1080">
        <v>1</v>
      </c>
      <c r="G1080" t="s">
        <v>1044</v>
      </c>
      <c r="H1080">
        <f>_xlfn.XLOOKUP(D1080, productos!$A$2:$A$150, productos!$D$2:$D$150, "No Encontrado", 0)</f>
        <v>17.23</v>
      </c>
      <c r="I1080">
        <f t="shared" si="16"/>
        <v>86.15</v>
      </c>
    </row>
    <row r="1081" spans="1:9" x14ac:dyDescent="0.25">
      <c r="A1081">
        <v>1743</v>
      </c>
      <c r="B1081" s="1">
        <v>45416</v>
      </c>
      <c r="C1081">
        <v>9</v>
      </c>
      <c r="D1081">
        <v>1</v>
      </c>
      <c r="E1081">
        <v>4</v>
      </c>
      <c r="F1081">
        <v>4</v>
      </c>
      <c r="G1081" t="s">
        <v>1044</v>
      </c>
      <c r="H1081">
        <f>_xlfn.XLOOKUP(D1081, productos!$A$2:$A$150, productos!$D$2:$D$150, "No Encontrado", 0)</f>
        <v>12.24</v>
      </c>
      <c r="I1081">
        <f t="shared" si="16"/>
        <v>48.96</v>
      </c>
    </row>
    <row r="1082" spans="1:9" x14ac:dyDescent="0.25">
      <c r="A1082">
        <v>2146</v>
      </c>
      <c r="B1082" s="1">
        <v>45416</v>
      </c>
      <c r="C1082">
        <v>278</v>
      </c>
      <c r="D1082">
        <v>15</v>
      </c>
      <c r="E1082">
        <v>2</v>
      </c>
      <c r="F1082">
        <v>4</v>
      </c>
      <c r="G1082" t="s">
        <v>1044</v>
      </c>
      <c r="H1082">
        <f>_xlfn.XLOOKUP(D1082, productos!$A$2:$A$150, productos!$D$2:$D$150, "No Encontrado", 0)</f>
        <v>3.51</v>
      </c>
      <c r="I1082">
        <f t="shared" si="16"/>
        <v>7.02</v>
      </c>
    </row>
    <row r="1083" spans="1:9" x14ac:dyDescent="0.25">
      <c r="A1083">
        <v>2605</v>
      </c>
      <c r="B1083" s="1">
        <v>45416</v>
      </c>
      <c r="C1083">
        <v>210</v>
      </c>
      <c r="D1083">
        <v>24</v>
      </c>
      <c r="E1083">
        <v>6</v>
      </c>
      <c r="F1083">
        <v>5</v>
      </c>
      <c r="G1083" t="s">
        <v>1044</v>
      </c>
      <c r="H1083">
        <f>_xlfn.XLOOKUP(D1083, productos!$A$2:$A$150, productos!$D$2:$D$150, "No Encontrado", 0)</f>
        <v>13.54</v>
      </c>
      <c r="I1083">
        <f t="shared" si="16"/>
        <v>81.239999999999995</v>
      </c>
    </row>
    <row r="1084" spans="1:9" x14ac:dyDescent="0.25">
      <c r="A1084">
        <v>1738</v>
      </c>
      <c r="B1084" s="1">
        <v>45417</v>
      </c>
      <c r="C1084">
        <v>198</v>
      </c>
      <c r="D1084">
        <v>10</v>
      </c>
      <c r="E1084">
        <v>4</v>
      </c>
      <c r="F1084">
        <v>4</v>
      </c>
      <c r="G1084" t="s">
        <v>1044</v>
      </c>
      <c r="H1084">
        <f>_xlfn.XLOOKUP(D1084, productos!$A$2:$A$150, productos!$D$2:$D$150, "No Encontrado", 0)</f>
        <v>14.25</v>
      </c>
      <c r="I1084">
        <f t="shared" si="16"/>
        <v>57</v>
      </c>
    </row>
    <row r="1085" spans="1:9" x14ac:dyDescent="0.25">
      <c r="A1085">
        <v>2313</v>
      </c>
      <c r="B1085" s="1">
        <v>45417</v>
      </c>
      <c r="C1085">
        <v>122</v>
      </c>
      <c r="D1085">
        <v>33</v>
      </c>
      <c r="E1085">
        <v>2</v>
      </c>
      <c r="F1085">
        <v>3</v>
      </c>
      <c r="G1085" t="s">
        <v>1044</v>
      </c>
      <c r="H1085">
        <f>_xlfn.XLOOKUP(D1085, productos!$A$2:$A$150, productos!$D$2:$D$150, "No Encontrado", 0)</f>
        <v>8.5399999999999991</v>
      </c>
      <c r="I1085">
        <f t="shared" si="16"/>
        <v>17.079999999999998</v>
      </c>
    </row>
    <row r="1086" spans="1:9" x14ac:dyDescent="0.25">
      <c r="A1086">
        <v>2473</v>
      </c>
      <c r="B1086" s="1">
        <v>45417</v>
      </c>
      <c r="C1086">
        <v>181</v>
      </c>
      <c r="D1086">
        <v>37</v>
      </c>
      <c r="E1086">
        <v>5</v>
      </c>
      <c r="F1086">
        <v>4</v>
      </c>
      <c r="G1086" t="s">
        <v>1044</v>
      </c>
      <c r="H1086">
        <f>_xlfn.XLOOKUP(D1086, productos!$A$2:$A$150, productos!$D$2:$D$150, "No Encontrado", 0)</f>
        <v>3.65</v>
      </c>
      <c r="I1086">
        <f t="shared" si="16"/>
        <v>18.25</v>
      </c>
    </row>
    <row r="1087" spans="1:9" x14ac:dyDescent="0.25">
      <c r="A1087">
        <v>2544</v>
      </c>
      <c r="B1087" s="1">
        <v>45417</v>
      </c>
      <c r="C1087">
        <v>34</v>
      </c>
      <c r="D1087">
        <v>30</v>
      </c>
      <c r="E1087">
        <v>1</v>
      </c>
      <c r="F1087">
        <v>1</v>
      </c>
      <c r="G1087" t="s">
        <v>1044</v>
      </c>
      <c r="H1087">
        <f>_xlfn.XLOOKUP(D1087, productos!$A$2:$A$150, productos!$D$2:$D$150, "No Encontrado", 0)</f>
        <v>13.54</v>
      </c>
      <c r="I1087">
        <f t="shared" si="16"/>
        <v>13.54</v>
      </c>
    </row>
    <row r="1088" spans="1:9" x14ac:dyDescent="0.25">
      <c r="A1088">
        <v>2840</v>
      </c>
      <c r="B1088" s="1">
        <v>45417</v>
      </c>
      <c r="C1088">
        <v>289</v>
      </c>
      <c r="D1088">
        <v>35</v>
      </c>
      <c r="E1088">
        <v>3</v>
      </c>
      <c r="F1088">
        <v>4</v>
      </c>
      <c r="G1088" t="s">
        <v>1044</v>
      </c>
      <c r="H1088">
        <f>_xlfn.XLOOKUP(D1088, productos!$A$2:$A$150, productos!$D$2:$D$150, "No Encontrado", 0)</f>
        <v>4.25</v>
      </c>
      <c r="I1088">
        <f t="shared" si="16"/>
        <v>12.75</v>
      </c>
    </row>
    <row r="1089" spans="1:9" x14ac:dyDescent="0.25">
      <c r="A1089">
        <v>2924</v>
      </c>
      <c r="B1089" s="1">
        <v>45417</v>
      </c>
      <c r="C1089">
        <v>158</v>
      </c>
      <c r="D1089">
        <v>2</v>
      </c>
      <c r="E1089">
        <v>6</v>
      </c>
      <c r="F1089">
        <v>1</v>
      </c>
      <c r="G1089" t="s">
        <v>1044</v>
      </c>
      <c r="H1089">
        <f>_xlfn.XLOOKUP(D1089, productos!$A$2:$A$150, productos!$D$2:$D$150, "No Encontrado", 0)</f>
        <v>5.21</v>
      </c>
      <c r="I1089">
        <f t="shared" si="16"/>
        <v>31.259999999999998</v>
      </c>
    </row>
    <row r="1090" spans="1:9" x14ac:dyDescent="0.25">
      <c r="A1090">
        <v>2997</v>
      </c>
      <c r="B1090" s="1">
        <v>45417</v>
      </c>
      <c r="C1090">
        <v>178</v>
      </c>
      <c r="D1090">
        <v>25</v>
      </c>
      <c r="E1090">
        <v>2</v>
      </c>
      <c r="F1090">
        <v>5</v>
      </c>
      <c r="G1090" t="s">
        <v>1044</v>
      </c>
      <c r="H1090">
        <f>_xlfn.XLOOKUP(D1090, productos!$A$2:$A$150, productos!$D$2:$D$150, "No Encontrado", 0)</f>
        <v>15.45</v>
      </c>
      <c r="I1090">
        <f t="shared" si="16"/>
        <v>30.9</v>
      </c>
    </row>
    <row r="1091" spans="1:9" x14ac:dyDescent="0.25">
      <c r="A1091">
        <v>455</v>
      </c>
      <c r="B1091" s="1">
        <v>45418</v>
      </c>
      <c r="C1091">
        <v>4</v>
      </c>
      <c r="D1091">
        <v>27</v>
      </c>
      <c r="E1091">
        <v>4</v>
      </c>
      <c r="F1091">
        <v>3</v>
      </c>
      <c r="G1091" t="s">
        <v>1044</v>
      </c>
      <c r="H1091">
        <f>_xlfn.XLOOKUP(D1091, productos!$A$2:$A$150, productos!$D$2:$D$150, "No Encontrado", 0)</f>
        <v>6.21</v>
      </c>
      <c r="I1091">
        <f t="shared" ref="I1091:I1154" si="17">E1091*H1091</f>
        <v>24.84</v>
      </c>
    </row>
    <row r="1092" spans="1:9" x14ac:dyDescent="0.25">
      <c r="A1092">
        <v>614</v>
      </c>
      <c r="B1092" s="1">
        <v>45418</v>
      </c>
      <c r="C1092">
        <v>245</v>
      </c>
      <c r="D1092">
        <v>34</v>
      </c>
      <c r="E1092">
        <v>3</v>
      </c>
      <c r="F1092">
        <v>5</v>
      </c>
      <c r="G1092" t="s">
        <v>1044</v>
      </c>
      <c r="H1092">
        <f>_xlfn.XLOOKUP(D1092, productos!$A$2:$A$150, productos!$D$2:$D$150, "No Encontrado", 0)</f>
        <v>5.45</v>
      </c>
      <c r="I1092">
        <f t="shared" si="17"/>
        <v>16.350000000000001</v>
      </c>
    </row>
    <row r="1093" spans="1:9" x14ac:dyDescent="0.25">
      <c r="A1093">
        <v>815</v>
      </c>
      <c r="B1093" s="1">
        <v>45418</v>
      </c>
      <c r="C1093">
        <v>186</v>
      </c>
      <c r="D1093">
        <v>5</v>
      </c>
      <c r="E1093">
        <v>2</v>
      </c>
      <c r="F1093">
        <v>4</v>
      </c>
      <c r="G1093" t="s">
        <v>1044</v>
      </c>
      <c r="H1093">
        <f>_xlfn.XLOOKUP(D1093, productos!$A$2:$A$150, productos!$D$2:$D$150, "No Encontrado", 0)</f>
        <v>5.65</v>
      </c>
      <c r="I1093">
        <f t="shared" si="17"/>
        <v>11.3</v>
      </c>
    </row>
    <row r="1094" spans="1:9" x14ac:dyDescent="0.25">
      <c r="A1094">
        <v>1424</v>
      </c>
      <c r="B1094" s="1">
        <v>45418</v>
      </c>
      <c r="C1094">
        <v>174</v>
      </c>
      <c r="D1094">
        <v>35</v>
      </c>
      <c r="E1094">
        <v>1</v>
      </c>
      <c r="F1094">
        <v>5</v>
      </c>
      <c r="G1094" t="s">
        <v>1044</v>
      </c>
      <c r="H1094">
        <f>_xlfn.XLOOKUP(D1094, productos!$A$2:$A$150, productos!$D$2:$D$150, "No Encontrado", 0)</f>
        <v>4.25</v>
      </c>
      <c r="I1094">
        <f t="shared" si="17"/>
        <v>4.25</v>
      </c>
    </row>
    <row r="1095" spans="1:9" x14ac:dyDescent="0.25">
      <c r="A1095">
        <v>1433</v>
      </c>
      <c r="B1095" s="1">
        <v>45418</v>
      </c>
      <c r="C1095">
        <v>222</v>
      </c>
      <c r="D1095">
        <v>16</v>
      </c>
      <c r="E1095">
        <v>1</v>
      </c>
      <c r="F1095">
        <v>1</v>
      </c>
      <c r="G1095" t="s">
        <v>1045</v>
      </c>
      <c r="H1095">
        <f>_xlfn.XLOOKUP(D1095, productos!$A$2:$A$150, productos!$D$2:$D$150, "No Encontrado", 0)</f>
        <v>15.23</v>
      </c>
      <c r="I1095">
        <f t="shared" si="17"/>
        <v>15.23</v>
      </c>
    </row>
    <row r="1096" spans="1:9" x14ac:dyDescent="0.25">
      <c r="A1096">
        <v>1517</v>
      </c>
      <c r="B1096" s="1">
        <v>45418</v>
      </c>
      <c r="C1096">
        <v>106</v>
      </c>
      <c r="D1096">
        <v>31</v>
      </c>
      <c r="E1096">
        <v>5</v>
      </c>
      <c r="F1096">
        <v>5</v>
      </c>
      <c r="G1096" t="s">
        <v>1044</v>
      </c>
      <c r="H1096">
        <f>_xlfn.XLOOKUP(D1096, productos!$A$2:$A$150, productos!$D$2:$D$150, "No Encontrado", 0)</f>
        <v>5.24</v>
      </c>
      <c r="I1096">
        <f t="shared" si="17"/>
        <v>26.200000000000003</v>
      </c>
    </row>
    <row r="1097" spans="1:9" x14ac:dyDescent="0.25">
      <c r="A1097">
        <v>2379</v>
      </c>
      <c r="B1097" s="1">
        <v>45418</v>
      </c>
      <c r="C1097">
        <v>321</v>
      </c>
      <c r="D1097">
        <v>13</v>
      </c>
      <c r="E1097">
        <v>5</v>
      </c>
      <c r="F1097">
        <v>1</v>
      </c>
      <c r="G1097" t="s">
        <v>1044</v>
      </c>
      <c r="H1097">
        <f>_xlfn.XLOOKUP(D1097, productos!$A$2:$A$150, productos!$D$2:$D$150, "No Encontrado", 0)</f>
        <v>12.56</v>
      </c>
      <c r="I1097">
        <f t="shared" si="17"/>
        <v>62.800000000000004</v>
      </c>
    </row>
    <row r="1098" spans="1:9" x14ac:dyDescent="0.25">
      <c r="A1098">
        <v>2602</v>
      </c>
      <c r="B1098" s="1">
        <v>45418</v>
      </c>
      <c r="C1098">
        <v>157</v>
      </c>
      <c r="D1098">
        <v>37</v>
      </c>
      <c r="E1098">
        <v>1</v>
      </c>
      <c r="F1098">
        <v>5</v>
      </c>
      <c r="G1098" t="s">
        <v>1044</v>
      </c>
      <c r="H1098">
        <f>_xlfn.XLOOKUP(D1098, productos!$A$2:$A$150, productos!$D$2:$D$150, "No Encontrado", 0)</f>
        <v>3.65</v>
      </c>
      <c r="I1098">
        <f t="shared" si="17"/>
        <v>3.65</v>
      </c>
    </row>
    <row r="1099" spans="1:9" x14ac:dyDescent="0.25">
      <c r="A1099">
        <v>2950</v>
      </c>
      <c r="B1099" s="1">
        <v>45418</v>
      </c>
      <c r="C1099">
        <v>307</v>
      </c>
      <c r="D1099">
        <v>26</v>
      </c>
      <c r="E1099">
        <v>4</v>
      </c>
      <c r="F1099">
        <v>1</v>
      </c>
      <c r="G1099" t="s">
        <v>1044</v>
      </c>
      <c r="H1099">
        <f>_xlfn.XLOOKUP(D1099, productos!$A$2:$A$150, productos!$D$2:$D$150, "No Encontrado", 0)</f>
        <v>9.5399999999999991</v>
      </c>
      <c r="I1099">
        <f t="shared" si="17"/>
        <v>38.159999999999997</v>
      </c>
    </row>
    <row r="1100" spans="1:9" x14ac:dyDescent="0.25">
      <c r="A1100">
        <v>1250</v>
      </c>
      <c r="B1100" s="1">
        <v>45419</v>
      </c>
      <c r="C1100">
        <v>234</v>
      </c>
      <c r="D1100">
        <v>8</v>
      </c>
      <c r="E1100">
        <v>1</v>
      </c>
      <c r="F1100">
        <v>2</v>
      </c>
      <c r="G1100" t="s">
        <v>1044</v>
      </c>
      <c r="H1100">
        <f>_xlfn.XLOOKUP(D1100, productos!$A$2:$A$150, productos!$D$2:$D$150, "No Encontrado", 0)</f>
        <v>16.21</v>
      </c>
      <c r="I1100">
        <f t="shared" si="17"/>
        <v>16.21</v>
      </c>
    </row>
    <row r="1101" spans="1:9" x14ac:dyDescent="0.25">
      <c r="A1101">
        <v>1734</v>
      </c>
      <c r="B1101" s="1">
        <v>45419</v>
      </c>
      <c r="C1101">
        <v>311</v>
      </c>
      <c r="D1101">
        <v>8</v>
      </c>
      <c r="E1101">
        <v>3</v>
      </c>
      <c r="F1101">
        <v>5</v>
      </c>
      <c r="G1101" t="s">
        <v>1044</v>
      </c>
      <c r="H1101">
        <f>_xlfn.XLOOKUP(D1101, productos!$A$2:$A$150, productos!$D$2:$D$150, "No Encontrado", 0)</f>
        <v>16.21</v>
      </c>
      <c r="I1101">
        <f t="shared" si="17"/>
        <v>48.63</v>
      </c>
    </row>
    <row r="1102" spans="1:9" x14ac:dyDescent="0.25">
      <c r="A1102">
        <v>1739</v>
      </c>
      <c r="B1102" s="1">
        <v>45419</v>
      </c>
      <c r="C1102">
        <v>222</v>
      </c>
      <c r="D1102">
        <v>2</v>
      </c>
      <c r="E1102">
        <v>4</v>
      </c>
      <c r="F1102">
        <v>4</v>
      </c>
      <c r="G1102" t="s">
        <v>1044</v>
      </c>
      <c r="H1102">
        <f>_xlfn.XLOOKUP(D1102, productos!$A$2:$A$150, productos!$D$2:$D$150, "No Encontrado", 0)</f>
        <v>5.21</v>
      </c>
      <c r="I1102">
        <f t="shared" si="17"/>
        <v>20.84</v>
      </c>
    </row>
    <row r="1103" spans="1:9" x14ac:dyDescent="0.25">
      <c r="A1103">
        <v>1802</v>
      </c>
      <c r="B1103" s="1">
        <v>45419</v>
      </c>
      <c r="C1103">
        <v>81</v>
      </c>
      <c r="D1103">
        <v>30</v>
      </c>
      <c r="E1103">
        <v>6</v>
      </c>
      <c r="F1103">
        <v>2</v>
      </c>
      <c r="G1103" t="s">
        <v>1044</v>
      </c>
      <c r="H1103">
        <f>_xlfn.XLOOKUP(D1103, productos!$A$2:$A$150, productos!$D$2:$D$150, "No Encontrado", 0)</f>
        <v>13.54</v>
      </c>
      <c r="I1103">
        <f t="shared" si="17"/>
        <v>81.239999999999995</v>
      </c>
    </row>
    <row r="1104" spans="1:9" x14ac:dyDescent="0.25">
      <c r="A1104">
        <v>2110</v>
      </c>
      <c r="B1104" s="1">
        <v>45419</v>
      </c>
      <c r="C1104">
        <v>27</v>
      </c>
      <c r="D1104">
        <v>29</v>
      </c>
      <c r="E1104">
        <v>5</v>
      </c>
      <c r="F1104">
        <v>2</v>
      </c>
      <c r="G1104" t="s">
        <v>1045</v>
      </c>
      <c r="H1104">
        <f>_xlfn.XLOOKUP(D1104, productos!$A$2:$A$150, productos!$D$2:$D$150, "No Encontrado", 0)</f>
        <v>11.54</v>
      </c>
      <c r="I1104">
        <f t="shared" si="17"/>
        <v>57.699999999999996</v>
      </c>
    </row>
    <row r="1105" spans="1:9" x14ac:dyDescent="0.25">
      <c r="A1105">
        <v>2136</v>
      </c>
      <c r="B1105" s="1">
        <v>45419</v>
      </c>
      <c r="C1105">
        <v>150</v>
      </c>
      <c r="D1105">
        <v>12</v>
      </c>
      <c r="E1105">
        <v>6</v>
      </c>
      <c r="F1105">
        <v>2</v>
      </c>
      <c r="G1105" t="s">
        <v>1044</v>
      </c>
      <c r="H1105">
        <f>_xlfn.XLOOKUP(D1105, productos!$A$2:$A$150, productos!$D$2:$D$150, "No Encontrado", 0)</f>
        <v>8.1199999999999992</v>
      </c>
      <c r="I1105">
        <f t="shared" si="17"/>
        <v>48.72</v>
      </c>
    </row>
    <row r="1106" spans="1:9" x14ac:dyDescent="0.25">
      <c r="A1106">
        <v>2568</v>
      </c>
      <c r="B1106" s="1">
        <v>45419</v>
      </c>
      <c r="C1106">
        <v>92</v>
      </c>
      <c r="D1106">
        <v>33</v>
      </c>
      <c r="E1106">
        <v>4</v>
      </c>
      <c r="F1106">
        <v>4</v>
      </c>
      <c r="G1106" t="s">
        <v>1044</v>
      </c>
      <c r="H1106">
        <f>_xlfn.XLOOKUP(D1106, productos!$A$2:$A$150, productos!$D$2:$D$150, "No Encontrado", 0)</f>
        <v>8.5399999999999991</v>
      </c>
      <c r="I1106">
        <f t="shared" si="17"/>
        <v>34.159999999999997</v>
      </c>
    </row>
    <row r="1107" spans="1:9" x14ac:dyDescent="0.25">
      <c r="A1107">
        <v>897</v>
      </c>
      <c r="B1107" s="1">
        <v>45420</v>
      </c>
      <c r="C1107">
        <v>234</v>
      </c>
      <c r="D1107">
        <v>23</v>
      </c>
      <c r="E1107">
        <v>5</v>
      </c>
      <c r="F1107">
        <v>4</v>
      </c>
      <c r="G1107" t="s">
        <v>1044</v>
      </c>
      <c r="H1107">
        <f>_xlfn.XLOOKUP(D1107, productos!$A$2:$A$150, productos!$D$2:$D$150, "No Encontrado", 0)</f>
        <v>8.23</v>
      </c>
      <c r="I1107">
        <f t="shared" si="17"/>
        <v>41.150000000000006</v>
      </c>
    </row>
    <row r="1108" spans="1:9" x14ac:dyDescent="0.25">
      <c r="A1108">
        <v>1051</v>
      </c>
      <c r="B1108" s="1">
        <v>45420</v>
      </c>
      <c r="C1108">
        <v>308</v>
      </c>
      <c r="D1108">
        <v>7</v>
      </c>
      <c r="E1108">
        <v>2</v>
      </c>
      <c r="F1108">
        <v>5</v>
      </c>
      <c r="G1108" t="s">
        <v>1045</v>
      </c>
      <c r="H1108">
        <f>_xlfn.XLOOKUP(D1108, productos!$A$2:$A$150, productos!$D$2:$D$150, "No Encontrado", 0)</f>
        <v>11.25</v>
      </c>
      <c r="I1108">
        <f t="shared" si="17"/>
        <v>22.5</v>
      </c>
    </row>
    <row r="1109" spans="1:9" x14ac:dyDescent="0.25">
      <c r="A1109">
        <v>1235</v>
      </c>
      <c r="B1109" s="1">
        <v>45420</v>
      </c>
      <c r="C1109">
        <v>250</v>
      </c>
      <c r="D1109">
        <v>16</v>
      </c>
      <c r="E1109">
        <v>6</v>
      </c>
      <c r="F1109">
        <v>3</v>
      </c>
      <c r="G1109" t="s">
        <v>1046</v>
      </c>
      <c r="H1109">
        <f>_xlfn.XLOOKUP(D1109, productos!$A$2:$A$150, productos!$D$2:$D$150, "No Encontrado", 0)</f>
        <v>15.23</v>
      </c>
      <c r="I1109">
        <f t="shared" si="17"/>
        <v>91.38</v>
      </c>
    </row>
    <row r="1110" spans="1:9" x14ac:dyDescent="0.25">
      <c r="A1110">
        <v>1270</v>
      </c>
      <c r="B1110" s="1">
        <v>45420</v>
      </c>
      <c r="C1110">
        <v>173</v>
      </c>
      <c r="D1110">
        <v>29</v>
      </c>
      <c r="E1110">
        <v>6</v>
      </c>
      <c r="F1110">
        <v>4</v>
      </c>
      <c r="G1110" t="s">
        <v>1044</v>
      </c>
      <c r="H1110">
        <f>_xlfn.XLOOKUP(D1110, productos!$A$2:$A$150, productos!$D$2:$D$150, "No Encontrado", 0)</f>
        <v>11.54</v>
      </c>
      <c r="I1110">
        <f t="shared" si="17"/>
        <v>69.239999999999995</v>
      </c>
    </row>
    <row r="1111" spans="1:9" x14ac:dyDescent="0.25">
      <c r="A1111">
        <v>1648</v>
      </c>
      <c r="B1111" s="1">
        <v>45420</v>
      </c>
      <c r="C1111">
        <v>50</v>
      </c>
      <c r="D1111">
        <v>31</v>
      </c>
      <c r="E1111">
        <v>1</v>
      </c>
      <c r="F1111">
        <v>5</v>
      </c>
      <c r="G1111" t="s">
        <v>1044</v>
      </c>
      <c r="H1111">
        <f>_xlfn.XLOOKUP(D1111, productos!$A$2:$A$150, productos!$D$2:$D$150, "No Encontrado", 0)</f>
        <v>5.24</v>
      </c>
      <c r="I1111">
        <f t="shared" si="17"/>
        <v>5.24</v>
      </c>
    </row>
    <row r="1112" spans="1:9" x14ac:dyDescent="0.25">
      <c r="A1112">
        <v>1659</v>
      </c>
      <c r="B1112" s="1">
        <v>45420</v>
      </c>
      <c r="C1112">
        <v>283</v>
      </c>
      <c r="D1112">
        <v>21</v>
      </c>
      <c r="E1112">
        <v>4</v>
      </c>
      <c r="F1112">
        <v>5</v>
      </c>
      <c r="G1112" t="s">
        <v>1045</v>
      </c>
      <c r="H1112">
        <f>_xlfn.XLOOKUP(D1112, productos!$A$2:$A$150, productos!$D$2:$D$150, "No Encontrado", 0)</f>
        <v>3.25</v>
      </c>
      <c r="I1112">
        <f t="shared" si="17"/>
        <v>13</v>
      </c>
    </row>
    <row r="1113" spans="1:9" x14ac:dyDescent="0.25">
      <c r="A1113">
        <v>2487</v>
      </c>
      <c r="B1113" s="1">
        <v>45420</v>
      </c>
      <c r="C1113">
        <v>250</v>
      </c>
      <c r="D1113">
        <v>35</v>
      </c>
      <c r="E1113">
        <v>5</v>
      </c>
      <c r="F1113">
        <v>3</v>
      </c>
      <c r="G1113" t="s">
        <v>1045</v>
      </c>
      <c r="H1113">
        <f>_xlfn.XLOOKUP(D1113, productos!$A$2:$A$150, productos!$D$2:$D$150, "No Encontrado", 0)</f>
        <v>4.25</v>
      </c>
      <c r="I1113">
        <f t="shared" si="17"/>
        <v>21.25</v>
      </c>
    </row>
    <row r="1114" spans="1:9" x14ac:dyDescent="0.25">
      <c r="A1114">
        <v>1019</v>
      </c>
      <c r="B1114" s="1">
        <v>45421</v>
      </c>
      <c r="C1114">
        <v>225</v>
      </c>
      <c r="D1114">
        <v>26</v>
      </c>
      <c r="E1114">
        <v>4</v>
      </c>
      <c r="F1114">
        <v>4</v>
      </c>
      <c r="G1114" t="s">
        <v>1044</v>
      </c>
      <c r="H1114">
        <f>_xlfn.XLOOKUP(D1114, productos!$A$2:$A$150, productos!$D$2:$D$150, "No Encontrado", 0)</f>
        <v>9.5399999999999991</v>
      </c>
      <c r="I1114">
        <f t="shared" si="17"/>
        <v>38.159999999999997</v>
      </c>
    </row>
    <row r="1115" spans="1:9" x14ac:dyDescent="0.25">
      <c r="A1115">
        <v>1921</v>
      </c>
      <c r="B1115" s="1">
        <v>45421</v>
      </c>
      <c r="C1115">
        <v>192</v>
      </c>
      <c r="D1115">
        <v>24</v>
      </c>
      <c r="E1115">
        <v>6</v>
      </c>
      <c r="F1115">
        <v>4</v>
      </c>
      <c r="G1115" t="s">
        <v>1044</v>
      </c>
      <c r="H1115">
        <f>_xlfn.XLOOKUP(D1115, productos!$A$2:$A$150, productos!$D$2:$D$150, "No Encontrado", 0)</f>
        <v>13.54</v>
      </c>
      <c r="I1115">
        <f t="shared" si="17"/>
        <v>81.239999999999995</v>
      </c>
    </row>
    <row r="1116" spans="1:9" x14ac:dyDescent="0.25">
      <c r="A1116">
        <v>2193</v>
      </c>
      <c r="B1116" s="1">
        <v>45421</v>
      </c>
      <c r="C1116">
        <v>244</v>
      </c>
      <c r="D1116">
        <v>30</v>
      </c>
      <c r="E1116">
        <v>5</v>
      </c>
      <c r="F1116">
        <v>1</v>
      </c>
      <c r="G1116" t="s">
        <v>1044</v>
      </c>
      <c r="H1116">
        <f>_xlfn.XLOOKUP(D1116, productos!$A$2:$A$150, productos!$D$2:$D$150, "No Encontrado", 0)</f>
        <v>13.54</v>
      </c>
      <c r="I1116">
        <f t="shared" si="17"/>
        <v>67.699999999999989</v>
      </c>
    </row>
    <row r="1117" spans="1:9" x14ac:dyDescent="0.25">
      <c r="A1117">
        <v>2452</v>
      </c>
      <c r="B1117" s="1">
        <v>45421</v>
      </c>
      <c r="C1117">
        <v>215</v>
      </c>
      <c r="D1117">
        <v>32</v>
      </c>
      <c r="E1117">
        <v>5</v>
      </c>
      <c r="F1117">
        <v>1</v>
      </c>
      <c r="G1117" t="s">
        <v>1044</v>
      </c>
      <c r="H1117">
        <f>_xlfn.XLOOKUP(D1117, productos!$A$2:$A$150, productos!$D$2:$D$150, "No Encontrado", 0)</f>
        <v>6.25</v>
      </c>
      <c r="I1117">
        <f t="shared" si="17"/>
        <v>31.25</v>
      </c>
    </row>
    <row r="1118" spans="1:9" x14ac:dyDescent="0.25">
      <c r="A1118">
        <v>2485</v>
      </c>
      <c r="B1118" s="1">
        <v>45421</v>
      </c>
      <c r="C1118">
        <v>66</v>
      </c>
      <c r="D1118">
        <v>6</v>
      </c>
      <c r="E1118">
        <v>5</v>
      </c>
      <c r="F1118">
        <v>5</v>
      </c>
      <c r="G1118" t="s">
        <v>1044</v>
      </c>
      <c r="H1118">
        <f>_xlfn.XLOOKUP(D1118, productos!$A$2:$A$150, productos!$D$2:$D$150, "No Encontrado", 0)</f>
        <v>28.56</v>
      </c>
      <c r="I1118">
        <f t="shared" si="17"/>
        <v>142.79999999999998</v>
      </c>
    </row>
    <row r="1119" spans="1:9" x14ac:dyDescent="0.25">
      <c r="A1119">
        <v>422</v>
      </c>
      <c r="B1119" s="1">
        <v>45422</v>
      </c>
      <c r="C1119">
        <v>81</v>
      </c>
      <c r="D1119">
        <v>11</v>
      </c>
      <c r="E1119">
        <v>2</v>
      </c>
      <c r="F1119">
        <v>4</v>
      </c>
      <c r="G1119" t="s">
        <v>1044</v>
      </c>
      <c r="H1119">
        <f>_xlfn.XLOOKUP(D1119, productos!$A$2:$A$150, productos!$D$2:$D$150, "No Encontrado", 0)</f>
        <v>11.23</v>
      </c>
      <c r="I1119">
        <f t="shared" si="17"/>
        <v>22.46</v>
      </c>
    </row>
    <row r="1120" spans="1:9" x14ac:dyDescent="0.25">
      <c r="A1120">
        <v>524</v>
      </c>
      <c r="B1120" s="1">
        <v>45422</v>
      </c>
      <c r="C1120">
        <v>54</v>
      </c>
      <c r="D1120">
        <v>7</v>
      </c>
      <c r="E1120">
        <v>4</v>
      </c>
      <c r="F1120">
        <v>4</v>
      </c>
      <c r="G1120" t="s">
        <v>1045</v>
      </c>
      <c r="H1120">
        <f>_xlfn.XLOOKUP(D1120, productos!$A$2:$A$150, productos!$D$2:$D$150, "No Encontrado", 0)</f>
        <v>11.25</v>
      </c>
      <c r="I1120">
        <f t="shared" si="17"/>
        <v>45</v>
      </c>
    </row>
    <row r="1121" spans="1:9" x14ac:dyDescent="0.25">
      <c r="A1121">
        <v>778</v>
      </c>
      <c r="B1121" s="1">
        <v>45422</v>
      </c>
      <c r="C1121">
        <v>46</v>
      </c>
      <c r="D1121">
        <v>6</v>
      </c>
      <c r="E1121">
        <v>1</v>
      </c>
      <c r="F1121">
        <v>4</v>
      </c>
      <c r="G1121" t="s">
        <v>1044</v>
      </c>
      <c r="H1121">
        <f>_xlfn.XLOOKUP(D1121, productos!$A$2:$A$150, productos!$D$2:$D$150, "No Encontrado", 0)</f>
        <v>28.56</v>
      </c>
      <c r="I1121">
        <f t="shared" si="17"/>
        <v>28.56</v>
      </c>
    </row>
    <row r="1122" spans="1:9" x14ac:dyDescent="0.25">
      <c r="A1122">
        <v>1031</v>
      </c>
      <c r="B1122" s="1">
        <v>45422</v>
      </c>
      <c r="C1122">
        <v>103</v>
      </c>
      <c r="D1122">
        <v>10</v>
      </c>
      <c r="E1122">
        <v>4</v>
      </c>
      <c r="F1122">
        <v>5</v>
      </c>
      <c r="G1122" t="s">
        <v>1044</v>
      </c>
      <c r="H1122">
        <f>_xlfn.XLOOKUP(D1122, productos!$A$2:$A$150, productos!$D$2:$D$150, "No Encontrado", 0)</f>
        <v>14.25</v>
      </c>
      <c r="I1122">
        <f t="shared" si="17"/>
        <v>57</v>
      </c>
    </row>
    <row r="1123" spans="1:9" x14ac:dyDescent="0.25">
      <c r="A1123">
        <v>1268</v>
      </c>
      <c r="B1123" s="1">
        <v>45422</v>
      </c>
      <c r="C1123">
        <v>14</v>
      </c>
      <c r="D1123">
        <v>8</v>
      </c>
      <c r="E1123">
        <v>4</v>
      </c>
      <c r="F1123">
        <v>1</v>
      </c>
      <c r="G1123" t="s">
        <v>1045</v>
      </c>
      <c r="H1123">
        <f>_xlfn.XLOOKUP(D1123, productos!$A$2:$A$150, productos!$D$2:$D$150, "No Encontrado", 0)</f>
        <v>16.21</v>
      </c>
      <c r="I1123">
        <f t="shared" si="17"/>
        <v>64.84</v>
      </c>
    </row>
    <row r="1124" spans="1:9" x14ac:dyDescent="0.25">
      <c r="A1124">
        <v>1385</v>
      </c>
      <c r="B1124" s="1">
        <v>45422</v>
      </c>
      <c r="C1124">
        <v>151</v>
      </c>
      <c r="D1124">
        <v>13</v>
      </c>
      <c r="E1124">
        <v>4</v>
      </c>
      <c r="F1124">
        <v>5</v>
      </c>
      <c r="G1124" t="s">
        <v>1044</v>
      </c>
      <c r="H1124">
        <f>_xlfn.XLOOKUP(D1124, productos!$A$2:$A$150, productos!$D$2:$D$150, "No Encontrado", 0)</f>
        <v>12.56</v>
      </c>
      <c r="I1124">
        <f t="shared" si="17"/>
        <v>50.24</v>
      </c>
    </row>
    <row r="1125" spans="1:9" x14ac:dyDescent="0.25">
      <c r="A1125">
        <v>1387</v>
      </c>
      <c r="B1125" s="1">
        <v>45422</v>
      </c>
      <c r="C1125">
        <v>156</v>
      </c>
      <c r="D1125">
        <v>27</v>
      </c>
      <c r="E1125">
        <v>6</v>
      </c>
      <c r="F1125">
        <v>5</v>
      </c>
      <c r="G1125" t="s">
        <v>1044</v>
      </c>
      <c r="H1125">
        <f>_xlfn.XLOOKUP(D1125, productos!$A$2:$A$150, productos!$D$2:$D$150, "No Encontrado", 0)</f>
        <v>6.21</v>
      </c>
      <c r="I1125">
        <f t="shared" si="17"/>
        <v>37.26</v>
      </c>
    </row>
    <row r="1126" spans="1:9" x14ac:dyDescent="0.25">
      <c r="A1126">
        <v>1447</v>
      </c>
      <c r="B1126" s="1">
        <v>45422</v>
      </c>
      <c r="C1126">
        <v>75</v>
      </c>
      <c r="D1126">
        <v>37</v>
      </c>
      <c r="E1126">
        <v>2</v>
      </c>
      <c r="F1126">
        <v>5</v>
      </c>
      <c r="G1126" t="s">
        <v>1044</v>
      </c>
      <c r="H1126">
        <f>_xlfn.XLOOKUP(D1126, productos!$A$2:$A$150, productos!$D$2:$D$150, "No Encontrado", 0)</f>
        <v>3.65</v>
      </c>
      <c r="I1126">
        <f t="shared" si="17"/>
        <v>7.3</v>
      </c>
    </row>
    <row r="1127" spans="1:9" x14ac:dyDescent="0.25">
      <c r="A1127">
        <v>1467</v>
      </c>
      <c r="B1127" s="1">
        <v>45422</v>
      </c>
      <c r="C1127">
        <v>59</v>
      </c>
      <c r="D1127">
        <v>4</v>
      </c>
      <c r="E1127">
        <v>1</v>
      </c>
      <c r="F1127">
        <v>1</v>
      </c>
      <c r="G1127" t="s">
        <v>1044</v>
      </c>
      <c r="H1127">
        <f>_xlfn.XLOOKUP(D1127, productos!$A$2:$A$150, productos!$D$2:$D$150, "No Encontrado", 0)</f>
        <v>19.23</v>
      </c>
      <c r="I1127">
        <f t="shared" si="17"/>
        <v>19.23</v>
      </c>
    </row>
    <row r="1128" spans="1:9" x14ac:dyDescent="0.25">
      <c r="A1128">
        <v>1824</v>
      </c>
      <c r="B1128" s="1">
        <v>45422</v>
      </c>
      <c r="C1128">
        <v>73</v>
      </c>
      <c r="D1128">
        <v>26</v>
      </c>
      <c r="E1128">
        <v>3</v>
      </c>
      <c r="F1128">
        <v>1</v>
      </c>
      <c r="G1128" t="s">
        <v>1044</v>
      </c>
      <c r="H1128">
        <f>_xlfn.XLOOKUP(D1128, productos!$A$2:$A$150, productos!$D$2:$D$150, "No Encontrado", 0)</f>
        <v>9.5399999999999991</v>
      </c>
      <c r="I1128">
        <f t="shared" si="17"/>
        <v>28.619999999999997</v>
      </c>
    </row>
    <row r="1129" spans="1:9" x14ac:dyDescent="0.25">
      <c r="A1129">
        <v>2005</v>
      </c>
      <c r="B1129" s="1">
        <v>45422</v>
      </c>
      <c r="C1129">
        <v>45</v>
      </c>
      <c r="D1129">
        <v>28</v>
      </c>
      <c r="E1129">
        <v>3</v>
      </c>
      <c r="F1129">
        <v>4</v>
      </c>
      <c r="G1129" t="s">
        <v>1045</v>
      </c>
      <c r="H1129">
        <f>_xlfn.XLOOKUP(D1129, productos!$A$2:$A$150, productos!$D$2:$D$150, "No Encontrado", 0)</f>
        <v>9.4499999999999993</v>
      </c>
      <c r="I1129">
        <f t="shared" si="17"/>
        <v>28.349999999999998</v>
      </c>
    </row>
    <row r="1130" spans="1:9" x14ac:dyDescent="0.25">
      <c r="A1130">
        <v>2311</v>
      </c>
      <c r="B1130" s="1">
        <v>45422</v>
      </c>
      <c r="C1130">
        <v>45</v>
      </c>
      <c r="D1130">
        <v>18</v>
      </c>
      <c r="E1130">
        <v>2</v>
      </c>
      <c r="F1130">
        <v>4</v>
      </c>
      <c r="G1130" t="s">
        <v>1044</v>
      </c>
      <c r="H1130">
        <f>_xlfn.XLOOKUP(D1130, productos!$A$2:$A$150, productos!$D$2:$D$150, "No Encontrado", 0)</f>
        <v>7.25</v>
      </c>
      <c r="I1130">
        <f t="shared" si="17"/>
        <v>14.5</v>
      </c>
    </row>
    <row r="1131" spans="1:9" x14ac:dyDescent="0.25">
      <c r="A1131">
        <v>2794</v>
      </c>
      <c r="B1131" s="1">
        <v>45422</v>
      </c>
      <c r="C1131">
        <v>114</v>
      </c>
      <c r="D1131">
        <v>38</v>
      </c>
      <c r="E1131">
        <v>2</v>
      </c>
      <c r="F1131">
        <v>5</v>
      </c>
      <c r="G1131" t="s">
        <v>1045</v>
      </c>
      <c r="H1131">
        <f>_xlfn.XLOOKUP(D1131, productos!$A$2:$A$150, productos!$D$2:$D$150, "No Encontrado", 0)</f>
        <v>6.21</v>
      </c>
      <c r="I1131">
        <f t="shared" si="17"/>
        <v>12.42</v>
      </c>
    </row>
    <row r="1132" spans="1:9" x14ac:dyDescent="0.25">
      <c r="A1132">
        <v>857</v>
      </c>
      <c r="B1132" s="1">
        <v>45423</v>
      </c>
      <c r="C1132">
        <v>325</v>
      </c>
      <c r="D1132">
        <v>24</v>
      </c>
      <c r="E1132">
        <v>1</v>
      </c>
      <c r="F1132">
        <v>1</v>
      </c>
      <c r="G1132" t="s">
        <v>1044</v>
      </c>
      <c r="H1132">
        <f>_xlfn.XLOOKUP(D1132, productos!$A$2:$A$150, productos!$D$2:$D$150, "No Encontrado", 0)</f>
        <v>13.54</v>
      </c>
      <c r="I1132">
        <f t="shared" si="17"/>
        <v>13.54</v>
      </c>
    </row>
    <row r="1133" spans="1:9" x14ac:dyDescent="0.25">
      <c r="A1133">
        <v>1050</v>
      </c>
      <c r="B1133" s="1">
        <v>45423</v>
      </c>
      <c r="C1133">
        <v>115</v>
      </c>
      <c r="D1133">
        <v>27</v>
      </c>
      <c r="E1133">
        <v>3</v>
      </c>
      <c r="F1133">
        <v>4</v>
      </c>
      <c r="G1133" t="s">
        <v>1044</v>
      </c>
      <c r="H1133">
        <f>_xlfn.XLOOKUP(D1133, productos!$A$2:$A$150, productos!$D$2:$D$150, "No Encontrado", 0)</f>
        <v>6.21</v>
      </c>
      <c r="I1133">
        <f t="shared" si="17"/>
        <v>18.63</v>
      </c>
    </row>
    <row r="1134" spans="1:9" x14ac:dyDescent="0.25">
      <c r="A1134">
        <v>1140</v>
      </c>
      <c r="B1134" s="1">
        <v>45423</v>
      </c>
      <c r="C1134">
        <v>184</v>
      </c>
      <c r="D1134">
        <v>23</v>
      </c>
      <c r="E1134">
        <v>1</v>
      </c>
      <c r="F1134">
        <v>5</v>
      </c>
      <c r="G1134" t="s">
        <v>1045</v>
      </c>
      <c r="H1134">
        <f>_xlfn.XLOOKUP(D1134, productos!$A$2:$A$150, productos!$D$2:$D$150, "No Encontrado", 0)</f>
        <v>8.23</v>
      </c>
      <c r="I1134">
        <f t="shared" si="17"/>
        <v>8.23</v>
      </c>
    </row>
    <row r="1135" spans="1:9" x14ac:dyDescent="0.25">
      <c r="A1135">
        <v>1351</v>
      </c>
      <c r="B1135" s="1">
        <v>45423</v>
      </c>
      <c r="C1135">
        <v>222</v>
      </c>
      <c r="D1135">
        <v>4</v>
      </c>
      <c r="E1135">
        <v>5</v>
      </c>
      <c r="F1135">
        <v>5</v>
      </c>
      <c r="G1135" t="s">
        <v>1044</v>
      </c>
      <c r="H1135">
        <f>_xlfn.XLOOKUP(D1135, productos!$A$2:$A$150, productos!$D$2:$D$150, "No Encontrado", 0)</f>
        <v>19.23</v>
      </c>
      <c r="I1135">
        <f t="shared" si="17"/>
        <v>96.15</v>
      </c>
    </row>
    <row r="1136" spans="1:9" x14ac:dyDescent="0.25">
      <c r="A1136">
        <v>1747</v>
      </c>
      <c r="B1136" s="1">
        <v>45423</v>
      </c>
      <c r="C1136">
        <v>138</v>
      </c>
      <c r="D1136">
        <v>15</v>
      </c>
      <c r="E1136">
        <v>4</v>
      </c>
      <c r="F1136">
        <v>2</v>
      </c>
      <c r="G1136" t="s">
        <v>1044</v>
      </c>
      <c r="H1136">
        <f>_xlfn.XLOOKUP(D1136, productos!$A$2:$A$150, productos!$D$2:$D$150, "No Encontrado", 0)</f>
        <v>3.51</v>
      </c>
      <c r="I1136">
        <f t="shared" si="17"/>
        <v>14.04</v>
      </c>
    </row>
    <row r="1137" spans="1:9" x14ac:dyDescent="0.25">
      <c r="A1137">
        <v>1847</v>
      </c>
      <c r="B1137" s="1">
        <v>45423</v>
      </c>
      <c r="C1137">
        <v>56</v>
      </c>
      <c r="D1137">
        <v>18</v>
      </c>
      <c r="E1137">
        <v>5</v>
      </c>
      <c r="F1137">
        <v>4</v>
      </c>
      <c r="G1137" t="s">
        <v>1045</v>
      </c>
      <c r="H1137">
        <f>_xlfn.XLOOKUP(D1137, productos!$A$2:$A$150, productos!$D$2:$D$150, "No Encontrado", 0)</f>
        <v>7.25</v>
      </c>
      <c r="I1137">
        <f t="shared" si="17"/>
        <v>36.25</v>
      </c>
    </row>
    <row r="1138" spans="1:9" x14ac:dyDescent="0.25">
      <c r="A1138">
        <v>1876</v>
      </c>
      <c r="B1138" s="1">
        <v>45423</v>
      </c>
      <c r="C1138">
        <v>265</v>
      </c>
      <c r="D1138">
        <v>3</v>
      </c>
      <c r="E1138">
        <v>6</v>
      </c>
      <c r="F1138">
        <v>5</v>
      </c>
      <c r="G1138" t="s">
        <v>1044</v>
      </c>
      <c r="H1138">
        <f>_xlfn.XLOOKUP(D1138, productos!$A$2:$A$150, productos!$D$2:$D$150, "No Encontrado", 0)</f>
        <v>17.23</v>
      </c>
      <c r="I1138">
        <f t="shared" si="17"/>
        <v>103.38</v>
      </c>
    </row>
    <row r="1139" spans="1:9" x14ac:dyDescent="0.25">
      <c r="A1139">
        <v>2332</v>
      </c>
      <c r="B1139" s="1">
        <v>45423</v>
      </c>
      <c r="C1139">
        <v>301</v>
      </c>
      <c r="D1139">
        <v>3</v>
      </c>
      <c r="E1139">
        <v>2</v>
      </c>
      <c r="F1139">
        <v>5</v>
      </c>
      <c r="G1139" t="s">
        <v>1044</v>
      </c>
      <c r="H1139">
        <f>_xlfn.XLOOKUP(D1139, productos!$A$2:$A$150, productos!$D$2:$D$150, "No Encontrado", 0)</f>
        <v>17.23</v>
      </c>
      <c r="I1139">
        <f t="shared" si="17"/>
        <v>34.46</v>
      </c>
    </row>
    <row r="1140" spans="1:9" x14ac:dyDescent="0.25">
      <c r="A1140">
        <v>2520</v>
      </c>
      <c r="B1140" s="1">
        <v>45423</v>
      </c>
      <c r="C1140">
        <v>103</v>
      </c>
      <c r="D1140">
        <v>10</v>
      </c>
      <c r="E1140">
        <v>5</v>
      </c>
      <c r="F1140">
        <v>5</v>
      </c>
      <c r="G1140" t="s">
        <v>1044</v>
      </c>
      <c r="H1140">
        <f>_xlfn.XLOOKUP(D1140, productos!$A$2:$A$150, productos!$D$2:$D$150, "No Encontrado", 0)</f>
        <v>14.25</v>
      </c>
      <c r="I1140">
        <f t="shared" si="17"/>
        <v>71.25</v>
      </c>
    </row>
    <row r="1141" spans="1:9" x14ac:dyDescent="0.25">
      <c r="A1141">
        <v>2567</v>
      </c>
      <c r="B1141" s="1">
        <v>45423</v>
      </c>
      <c r="C1141">
        <v>56</v>
      </c>
      <c r="D1141">
        <v>27</v>
      </c>
      <c r="E1141">
        <v>3</v>
      </c>
      <c r="F1141">
        <v>5</v>
      </c>
      <c r="G1141" t="s">
        <v>1044</v>
      </c>
      <c r="H1141">
        <f>_xlfn.XLOOKUP(D1141, productos!$A$2:$A$150, productos!$D$2:$D$150, "No Encontrado", 0)</f>
        <v>6.21</v>
      </c>
      <c r="I1141">
        <f t="shared" si="17"/>
        <v>18.63</v>
      </c>
    </row>
    <row r="1142" spans="1:9" x14ac:dyDescent="0.25">
      <c r="A1142">
        <v>2892</v>
      </c>
      <c r="B1142" s="1">
        <v>45423</v>
      </c>
      <c r="C1142">
        <v>185</v>
      </c>
      <c r="D1142">
        <v>27</v>
      </c>
      <c r="E1142">
        <v>3</v>
      </c>
      <c r="F1142">
        <v>5</v>
      </c>
      <c r="G1142" t="s">
        <v>1044</v>
      </c>
      <c r="H1142">
        <f>_xlfn.XLOOKUP(D1142, productos!$A$2:$A$150, productos!$D$2:$D$150, "No Encontrado", 0)</f>
        <v>6.21</v>
      </c>
      <c r="I1142">
        <f t="shared" si="17"/>
        <v>18.63</v>
      </c>
    </row>
    <row r="1143" spans="1:9" x14ac:dyDescent="0.25">
      <c r="A1143">
        <v>350</v>
      </c>
      <c r="B1143" s="1">
        <v>45424</v>
      </c>
      <c r="C1143">
        <v>98</v>
      </c>
      <c r="D1143">
        <v>34</v>
      </c>
      <c r="E1143">
        <v>3</v>
      </c>
      <c r="F1143">
        <v>1</v>
      </c>
      <c r="G1143" t="s">
        <v>1044</v>
      </c>
      <c r="H1143">
        <f>_xlfn.XLOOKUP(D1143, productos!$A$2:$A$150, productos!$D$2:$D$150, "No Encontrado", 0)</f>
        <v>5.45</v>
      </c>
      <c r="I1143">
        <f t="shared" si="17"/>
        <v>16.350000000000001</v>
      </c>
    </row>
    <row r="1144" spans="1:9" x14ac:dyDescent="0.25">
      <c r="A1144">
        <v>715</v>
      </c>
      <c r="B1144" s="1">
        <v>45424</v>
      </c>
      <c r="C1144">
        <v>281</v>
      </c>
      <c r="D1144">
        <v>11</v>
      </c>
      <c r="E1144">
        <v>1</v>
      </c>
      <c r="F1144">
        <v>4</v>
      </c>
      <c r="G1144" t="s">
        <v>1044</v>
      </c>
      <c r="H1144">
        <f>_xlfn.XLOOKUP(D1144, productos!$A$2:$A$150, productos!$D$2:$D$150, "No Encontrado", 0)</f>
        <v>11.23</v>
      </c>
      <c r="I1144">
        <f t="shared" si="17"/>
        <v>11.23</v>
      </c>
    </row>
    <row r="1145" spans="1:9" x14ac:dyDescent="0.25">
      <c r="A1145">
        <v>1151</v>
      </c>
      <c r="B1145" s="1">
        <v>45424</v>
      </c>
      <c r="C1145">
        <v>59</v>
      </c>
      <c r="D1145">
        <v>5</v>
      </c>
      <c r="E1145">
        <v>3</v>
      </c>
      <c r="F1145">
        <v>5</v>
      </c>
      <c r="G1145" t="s">
        <v>1044</v>
      </c>
      <c r="H1145">
        <f>_xlfn.XLOOKUP(D1145, productos!$A$2:$A$150, productos!$D$2:$D$150, "No Encontrado", 0)</f>
        <v>5.65</v>
      </c>
      <c r="I1145">
        <f t="shared" si="17"/>
        <v>16.950000000000003</v>
      </c>
    </row>
    <row r="1146" spans="1:9" x14ac:dyDescent="0.25">
      <c r="A1146">
        <v>1923</v>
      </c>
      <c r="B1146" s="1">
        <v>45424</v>
      </c>
      <c r="C1146">
        <v>112</v>
      </c>
      <c r="D1146">
        <v>18</v>
      </c>
      <c r="E1146">
        <v>5</v>
      </c>
      <c r="F1146">
        <v>5</v>
      </c>
      <c r="G1146" t="s">
        <v>1044</v>
      </c>
      <c r="H1146">
        <f>_xlfn.XLOOKUP(D1146, productos!$A$2:$A$150, productos!$D$2:$D$150, "No Encontrado", 0)</f>
        <v>7.25</v>
      </c>
      <c r="I1146">
        <f t="shared" si="17"/>
        <v>36.25</v>
      </c>
    </row>
    <row r="1147" spans="1:9" x14ac:dyDescent="0.25">
      <c r="A1147">
        <v>2114</v>
      </c>
      <c r="B1147" s="1">
        <v>45424</v>
      </c>
      <c r="C1147">
        <v>119</v>
      </c>
      <c r="D1147">
        <v>17</v>
      </c>
      <c r="E1147">
        <v>4</v>
      </c>
      <c r="F1147">
        <v>5</v>
      </c>
      <c r="G1147" t="s">
        <v>1045</v>
      </c>
      <c r="H1147">
        <f>_xlfn.XLOOKUP(D1147, productos!$A$2:$A$150, productos!$D$2:$D$150, "No Encontrado", 0)</f>
        <v>6.54</v>
      </c>
      <c r="I1147">
        <f t="shared" si="17"/>
        <v>26.16</v>
      </c>
    </row>
    <row r="1148" spans="1:9" x14ac:dyDescent="0.25">
      <c r="A1148">
        <v>2289</v>
      </c>
      <c r="B1148" s="1">
        <v>45424</v>
      </c>
      <c r="C1148">
        <v>288</v>
      </c>
      <c r="D1148">
        <v>32</v>
      </c>
      <c r="E1148">
        <v>6</v>
      </c>
      <c r="F1148">
        <v>1</v>
      </c>
      <c r="G1148" t="s">
        <v>1045</v>
      </c>
      <c r="H1148">
        <f>_xlfn.XLOOKUP(D1148, productos!$A$2:$A$150, productos!$D$2:$D$150, "No Encontrado", 0)</f>
        <v>6.25</v>
      </c>
      <c r="I1148">
        <f t="shared" si="17"/>
        <v>37.5</v>
      </c>
    </row>
    <row r="1149" spans="1:9" x14ac:dyDescent="0.25">
      <c r="A1149">
        <v>2344</v>
      </c>
      <c r="B1149" s="1">
        <v>45424</v>
      </c>
      <c r="C1149">
        <v>76</v>
      </c>
      <c r="D1149">
        <v>12</v>
      </c>
      <c r="E1149">
        <v>6</v>
      </c>
      <c r="F1149">
        <v>1</v>
      </c>
      <c r="G1149" t="s">
        <v>1044</v>
      </c>
      <c r="H1149">
        <f>_xlfn.XLOOKUP(D1149, productos!$A$2:$A$150, productos!$D$2:$D$150, "No Encontrado", 0)</f>
        <v>8.1199999999999992</v>
      </c>
      <c r="I1149">
        <f t="shared" si="17"/>
        <v>48.72</v>
      </c>
    </row>
    <row r="1150" spans="1:9" x14ac:dyDescent="0.25">
      <c r="A1150">
        <v>449</v>
      </c>
      <c r="B1150" s="1">
        <v>45425</v>
      </c>
      <c r="C1150">
        <v>21</v>
      </c>
      <c r="D1150">
        <v>34</v>
      </c>
      <c r="E1150">
        <v>4</v>
      </c>
      <c r="F1150">
        <v>5</v>
      </c>
      <c r="G1150" t="s">
        <v>1044</v>
      </c>
      <c r="H1150">
        <f>_xlfn.XLOOKUP(D1150, productos!$A$2:$A$150, productos!$D$2:$D$150, "No Encontrado", 0)</f>
        <v>5.45</v>
      </c>
      <c r="I1150">
        <f t="shared" si="17"/>
        <v>21.8</v>
      </c>
    </row>
    <row r="1151" spans="1:9" x14ac:dyDescent="0.25">
      <c r="A1151">
        <v>902</v>
      </c>
      <c r="B1151" s="1">
        <v>45425</v>
      </c>
      <c r="C1151">
        <v>316</v>
      </c>
      <c r="D1151">
        <v>37</v>
      </c>
      <c r="E1151">
        <v>6</v>
      </c>
      <c r="F1151">
        <v>4</v>
      </c>
      <c r="G1151" t="s">
        <v>1044</v>
      </c>
      <c r="H1151">
        <f>_xlfn.XLOOKUP(D1151, productos!$A$2:$A$150, productos!$D$2:$D$150, "No Encontrado", 0)</f>
        <v>3.65</v>
      </c>
      <c r="I1151">
        <f t="shared" si="17"/>
        <v>21.9</v>
      </c>
    </row>
    <row r="1152" spans="1:9" x14ac:dyDescent="0.25">
      <c r="A1152">
        <v>1067</v>
      </c>
      <c r="B1152" s="1">
        <v>45425</v>
      </c>
      <c r="C1152">
        <v>271</v>
      </c>
      <c r="D1152">
        <v>27</v>
      </c>
      <c r="E1152">
        <v>3</v>
      </c>
      <c r="F1152">
        <v>5</v>
      </c>
      <c r="G1152" t="s">
        <v>1044</v>
      </c>
      <c r="H1152">
        <f>_xlfn.XLOOKUP(D1152, productos!$A$2:$A$150, productos!$D$2:$D$150, "No Encontrado", 0)</f>
        <v>6.21</v>
      </c>
      <c r="I1152">
        <f t="shared" si="17"/>
        <v>18.63</v>
      </c>
    </row>
    <row r="1153" spans="1:9" x14ac:dyDescent="0.25">
      <c r="A1153">
        <v>1097</v>
      </c>
      <c r="B1153" s="1">
        <v>45425</v>
      </c>
      <c r="C1153">
        <v>102</v>
      </c>
      <c r="D1153">
        <v>31</v>
      </c>
      <c r="E1153">
        <v>3</v>
      </c>
      <c r="F1153">
        <v>5</v>
      </c>
      <c r="G1153" t="s">
        <v>1044</v>
      </c>
      <c r="H1153">
        <f>_xlfn.XLOOKUP(D1153, productos!$A$2:$A$150, productos!$D$2:$D$150, "No Encontrado", 0)</f>
        <v>5.24</v>
      </c>
      <c r="I1153">
        <f t="shared" si="17"/>
        <v>15.72</v>
      </c>
    </row>
    <row r="1154" spans="1:9" x14ac:dyDescent="0.25">
      <c r="A1154">
        <v>1731</v>
      </c>
      <c r="B1154" s="1">
        <v>45425</v>
      </c>
      <c r="C1154">
        <v>231</v>
      </c>
      <c r="D1154">
        <v>30</v>
      </c>
      <c r="E1154">
        <v>3</v>
      </c>
      <c r="F1154">
        <v>5</v>
      </c>
      <c r="G1154" t="s">
        <v>1045</v>
      </c>
      <c r="H1154">
        <f>_xlfn.XLOOKUP(D1154, productos!$A$2:$A$150, productos!$D$2:$D$150, "No Encontrado", 0)</f>
        <v>13.54</v>
      </c>
      <c r="I1154">
        <f t="shared" si="17"/>
        <v>40.619999999999997</v>
      </c>
    </row>
    <row r="1155" spans="1:9" x14ac:dyDescent="0.25">
      <c r="A1155">
        <v>2020</v>
      </c>
      <c r="B1155" s="1">
        <v>45425</v>
      </c>
      <c r="C1155">
        <v>265</v>
      </c>
      <c r="D1155">
        <v>6</v>
      </c>
      <c r="E1155">
        <v>1</v>
      </c>
      <c r="F1155">
        <v>1</v>
      </c>
      <c r="G1155" t="s">
        <v>1044</v>
      </c>
      <c r="H1155">
        <f>_xlfn.XLOOKUP(D1155, productos!$A$2:$A$150, productos!$D$2:$D$150, "No Encontrado", 0)</f>
        <v>28.56</v>
      </c>
      <c r="I1155">
        <f t="shared" ref="I1155:I1218" si="18">E1155*H1155</f>
        <v>28.56</v>
      </c>
    </row>
    <row r="1156" spans="1:9" x14ac:dyDescent="0.25">
      <c r="A1156">
        <v>2493</v>
      </c>
      <c r="B1156" s="1">
        <v>45425</v>
      </c>
      <c r="C1156">
        <v>36</v>
      </c>
      <c r="D1156">
        <v>3</v>
      </c>
      <c r="E1156">
        <v>2</v>
      </c>
      <c r="F1156">
        <v>5</v>
      </c>
      <c r="G1156" t="s">
        <v>1044</v>
      </c>
      <c r="H1156">
        <f>_xlfn.XLOOKUP(D1156, productos!$A$2:$A$150, productos!$D$2:$D$150, "No Encontrado", 0)</f>
        <v>17.23</v>
      </c>
      <c r="I1156">
        <f t="shared" si="18"/>
        <v>34.46</v>
      </c>
    </row>
    <row r="1157" spans="1:9" x14ac:dyDescent="0.25">
      <c r="A1157">
        <v>2728</v>
      </c>
      <c r="B1157" s="1">
        <v>45425</v>
      </c>
      <c r="C1157">
        <v>49</v>
      </c>
      <c r="D1157">
        <v>6</v>
      </c>
      <c r="E1157">
        <v>6</v>
      </c>
      <c r="F1157">
        <v>4</v>
      </c>
      <c r="G1157" t="s">
        <v>1044</v>
      </c>
      <c r="H1157">
        <f>_xlfn.XLOOKUP(D1157, productos!$A$2:$A$150, productos!$D$2:$D$150, "No Encontrado", 0)</f>
        <v>28.56</v>
      </c>
      <c r="I1157">
        <f t="shared" si="18"/>
        <v>171.35999999999999</v>
      </c>
    </row>
    <row r="1158" spans="1:9" x14ac:dyDescent="0.25">
      <c r="A1158">
        <v>337</v>
      </c>
      <c r="B1158" s="1">
        <v>45426</v>
      </c>
      <c r="C1158">
        <v>247</v>
      </c>
      <c r="D1158">
        <v>28</v>
      </c>
      <c r="E1158">
        <v>1</v>
      </c>
      <c r="F1158">
        <v>1</v>
      </c>
      <c r="G1158" t="s">
        <v>1044</v>
      </c>
      <c r="H1158">
        <f>_xlfn.XLOOKUP(D1158, productos!$A$2:$A$150, productos!$D$2:$D$150, "No Encontrado", 0)</f>
        <v>9.4499999999999993</v>
      </c>
      <c r="I1158">
        <f t="shared" si="18"/>
        <v>9.4499999999999993</v>
      </c>
    </row>
    <row r="1159" spans="1:9" x14ac:dyDescent="0.25">
      <c r="A1159">
        <v>744</v>
      </c>
      <c r="B1159" s="1">
        <v>45426</v>
      </c>
      <c r="C1159">
        <v>326</v>
      </c>
      <c r="D1159">
        <v>9</v>
      </c>
      <c r="E1159">
        <v>1</v>
      </c>
      <c r="F1159">
        <v>5</v>
      </c>
      <c r="G1159" t="s">
        <v>1045</v>
      </c>
      <c r="H1159">
        <f>_xlfn.XLOOKUP(D1159, productos!$A$2:$A$150, productos!$D$2:$D$150, "No Encontrado", 0)</f>
        <v>18.559999999999999</v>
      </c>
      <c r="I1159">
        <f t="shared" si="18"/>
        <v>18.559999999999999</v>
      </c>
    </row>
    <row r="1160" spans="1:9" x14ac:dyDescent="0.25">
      <c r="A1160">
        <v>796</v>
      </c>
      <c r="B1160" s="1">
        <v>45426</v>
      </c>
      <c r="C1160">
        <v>281</v>
      </c>
      <c r="D1160">
        <v>37</v>
      </c>
      <c r="E1160">
        <v>4</v>
      </c>
      <c r="F1160">
        <v>1</v>
      </c>
      <c r="G1160" t="s">
        <v>1044</v>
      </c>
      <c r="H1160">
        <f>_xlfn.XLOOKUP(D1160, productos!$A$2:$A$150, productos!$D$2:$D$150, "No Encontrado", 0)</f>
        <v>3.65</v>
      </c>
      <c r="I1160">
        <f t="shared" si="18"/>
        <v>14.6</v>
      </c>
    </row>
    <row r="1161" spans="1:9" x14ac:dyDescent="0.25">
      <c r="A1161">
        <v>1155</v>
      </c>
      <c r="B1161" s="1">
        <v>45426</v>
      </c>
      <c r="C1161">
        <v>113</v>
      </c>
      <c r="D1161">
        <v>37</v>
      </c>
      <c r="E1161">
        <v>6</v>
      </c>
      <c r="F1161">
        <v>1</v>
      </c>
      <c r="G1161" t="s">
        <v>1044</v>
      </c>
      <c r="H1161">
        <f>_xlfn.XLOOKUP(D1161, productos!$A$2:$A$150, productos!$D$2:$D$150, "No Encontrado", 0)</f>
        <v>3.65</v>
      </c>
      <c r="I1161">
        <f t="shared" si="18"/>
        <v>21.9</v>
      </c>
    </row>
    <row r="1162" spans="1:9" x14ac:dyDescent="0.25">
      <c r="A1162">
        <v>1685</v>
      </c>
      <c r="B1162" s="1">
        <v>45426</v>
      </c>
      <c r="C1162">
        <v>96</v>
      </c>
      <c r="D1162">
        <v>31</v>
      </c>
      <c r="E1162">
        <v>2</v>
      </c>
      <c r="F1162">
        <v>4</v>
      </c>
      <c r="G1162" t="s">
        <v>1044</v>
      </c>
      <c r="H1162">
        <f>_xlfn.XLOOKUP(D1162, productos!$A$2:$A$150, productos!$D$2:$D$150, "No Encontrado", 0)</f>
        <v>5.24</v>
      </c>
      <c r="I1162">
        <f t="shared" si="18"/>
        <v>10.48</v>
      </c>
    </row>
    <row r="1163" spans="1:9" x14ac:dyDescent="0.25">
      <c r="A1163">
        <v>1699</v>
      </c>
      <c r="B1163" s="1">
        <v>45426</v>
      </c>
      <c r="C1163">
        <v>24</v>
      </c>
      <c r="D1163">
        <v>32</v>
      </c>
      <c r="E1163">
        <v>3</v>
      </c>
      <c r="F1163">
        <v>5</v>
      </c>
      <c r="G1163" t="s">
        <v>1044</v>
      </c>
      <c r="H1163">
        <f>_xlfn.XLOOKUP(D1163, productos!$A$2:$A$150, productos!$D$2:$D$150, "No Encontrado", 0)</f>
        <v>6.25</v>
      </c>
      <c r="I1163">
        <f t="shared" si="18"/>
        <v>18.75</v>
      </c>
    </row>
    <row r="1164" spans="1:9" x14ac:dyDescent="0.25">
      <c r="A1164">
        <v>1933</v>
      </c>
      <c r="B1164" s="1">
        <v>45426</v>
      </c>
      <c r="C1164">
        <v>314</v>
      </c>
      <c r="D1164">
        <v>12</v>
      </c>
      <c r="E1164">
        <v>5</v>
      </c>
      <c r="F1164">
        <v>3</v>
      </c>
      <c r="G1164" t="s">
        <v>1044</v>
      </c>
      <c r="H1164">
        <f>_xlfn.XLOOKUP(D1164, productos!$A$2:$A$150, productos!$D$2:$D$150, "No Encontrado", 0)</f>
        <v>8.1199999999999992</v>
      </c>
      <c r="I1164">
        <f t="shared" si="18"/>
        <v>40.599999999999994</v>
      </c>
    </row>
    <row r="1165" spans="1:9" x14ac:dyDescent="0.25">
      <c r="A1165">
        <v>2564</v>
      </c>
      <c r="B1165" s="1">
        <v>45426</v>
      </c>
      <c r="C1165">
        <v>117</v>
      </c>
      <c r="D1165">
        <v>8</v>
      </c>
      <c r="E1165">
        <v>2</v>
      </c>
      <c r="F1165">
        <v>4</v>
      </c>
      <c r="G1165" t="s">
        <v>1044</v>
      </c>
      <c r="H1165">
        <f>_xlfn.XLOOKUP(D1165, productos!$A$2:$A$150, productos!$D$2:$D$150, "No Encontrado", 0)</f>
        <v>16.21</v>
      </c>
      <c r="I1165">
        <f t="shared" si="18"/>
        <v>32.42</v>
      </c>
    </row>
    <row r="1166" spans="1:9" x14ac:dyDescent="0.25">
      <c r="A1166">
        <v>2583</v>
      </c>
      <c r="B1166" s="1">
        <v>45426</v>
      </c>
      <c r="C1166">
        <v>220</v>
      </c>
      <c r="D1166">
        <v>26</v>
      </c>
      <c r="E1166">
        <v>4</v>
      </c>
      <c r="F1166">
        <v>4</v>
      </c>
      <c r="G1166" t="s">
        <v>1044</v>
      </c>
      <c r="H1166">
        <f>_xlfn.XLOOKUP(D1166, productos!$A$2:$A$150, productos!$D$2:$D$150, "No Encontrado", 0)</f>
        <v>9.5399999999999991</v>
      </c>
      <c r="I1166">
        <f t="shared" si="18"/>
        <v>38.159999999999997</v>
      </c>
    </row>
    <row r="1167" spans="1:9" x14ac:dyDescent="0.25">
      <c r="A1167">
        <v>2590</v>
      </c>
      <c r="B1167" s="1">
        <v>45426</v>
      </c>
      <c r="C1167">
        <v>283</v>
      </c>
      <c r="D1167">
        <v>21</v>
      </c>
      <c r="E1167">
        <v>4</v>
      </c>
      <c r="F1167">
        <v>3</v>
      </c>
      <c r="G1167" t="s">
        <v>1044</v>
      </c>
      <c r="H1167">
        <f>_xlfn.XLOOKUP(D1167, productos!$A$2:$A$150, productos!$D$2:$D$150, "No Encontrado", 0)</f>
        <v>3.25</v>
      </c>
      <c r="I1167">
        <f t="shared" si="18"/>
        <v>13</v>
      </c>
    </row>
    <row r="1168" spans="1:9" x14ac:dyDescent="0.25">
      <c r="A1168">
        <v>505</v>
      </c>
      <c r="B1168" s="1">
        <v>45427</v>
      </c>
      <c r="C1168">
        <v>316</v>
      </c>
      <c r="D1168">
        <v>38</v>
      </c>
      <c r="E1168">
        <v>5</v>
      </c>
      <c r="F1168">
        <v>4</v>
      </c>
      <c r="G1168" t="s">
        <v>1044</v>
      </c>
      <c r="H1168">
        <f>_xlfn.XLOOKUP(D1168, productos!$A$2:$A$150, productos!$D$2:$D$150, "No Encontrado", 0)</f>
        <v>6.21</v>
      </c>
      <c r="I1168">
        <f t="shared" si="18"/>
        <v>31.05</v>
      </c>
    </row>
    <row r="1169" spans="1:9" x14ac:dyDescent="0.25">
      <c r="A1169">
        <v>1100</v>
      </c>
      <c r="B1169" s="1">
        <v>45427</v>
      </c>
      <c r="C1169">
        <v>18</v>
      </c>
      <c r="D1169">
        <v>29</v>
      </c>
      <c r="E1169">
        <v>2</v>
      </c>
      <c r="F1169">
        <v>2</v>
      </c>
      <c r="G1169" t="s">
        <v>1044</v>
      </c>
      <c r="H1169">
        <f>_xlfn.XLOOKUP(D1169, productos!$A$2:$A$150, productos!$D$2:$D$150, "No Encontrado", 0)</f>
        <v>11.54</v>
      </c>
      <c r="I1169">
        <f t="shared" si="18"/>
        <v>23.08</v>
      </c>
    </row>
    <row r="1170" spans="1:9" x14ac:dyDescent="0.25">
      <c r="A1170">
        <v>1691</v>
      </c>
      <c r="B1170" s="1">
        <v>45427</v>
      </c>
      <c r="C1170">
        <v>283</v>
      </c>
      <c r="D1170">
        <v>9</v>
      </c>
      <c r="E1170">
        <v>1</v>
      </c>
      <c r="F1170">
        <v>4</v>
      </c>
      <c r="G1170" t="s">
        <v>1044</v>
      </c>
      <c r="H1170">
        <f>_xlfn.XLOOKUP(D1170, productos!$A$2:$A$150, productos!$D$2:$D$150, "No Encontrado", 0)</f>
        <v>18.559999999999999</v>
      </c>
      <c r="I1170">
        <f t="shared" si="18"/>
        <v>18.559999999999999</v>
      </c>
    </row>
    <row r="1171" spans="1:9" x14ac:dyDescent="0.25">
      <c r="A1171">
        <v>1860</v>
      </c>
      <c r="B1171" s="1">
        <v>45427</v>
      </c>
      <c r="C1171">
        <v>54</v>
      </c>
      <c r="D1171">
        <v>28</v>
      </c>
      <c r="E1171">
        <v>5</v>
      </c>
      <c r="F1171">
        <v>3</v>
      </c>
      <c r="G1171" t="s">
        <v>1044</v>
      </c>
      <c r="H1171">
        <f>_xlfn.XLOOKUP(D1171, productos!$A$2:$A$150, productos!$D$2:$D$150, "No Encontrado", 0)</f>
        <v>9.4499999999999993</v>
      </c>
      <c r="I1171">
        <f t="shared" si="18"/>
        <v>47.25</v>
      </c>
    </row>
    <row r="1172" spans="1:9" x14ac:dyDescent="0.25">
      <c r="A1172">
        <v>1875</v>
      </c>
      <c r="B1172" s="1">
        <v>45427</v>
      </c>
      <c r="C1172">
        <v>6</v>
      </c>
      <c r="D1172">
        <v>5</v>
      </c>
      <c r="E1172">
        <v>2</v>
      </c>
      <c r="F1172">
        <v>3</v>
      </c>
      <c r="G1172" t="s">
        <v>1044</v>
      </c>
      <c r="H1172">
        <f>_xlfn.XLOOKUP(D1172, productos!$A$2:$A$150, productos!$D$2:$D$150, "No Encontrado", 0)</f>
        <v>5.65</v>
      </c>
      <c r="I1172">
        <f t="shared" si="18"/>
        <v>11.3</v>
      </c>
    </row>
    <row r="1173" spans="1:9" x14ac:dyDescent="0.25">
      <c r="A1173">
        <v>1932</v>
      </c>
      <c r="B1173" s="1">
        <v>45427</v>
      </c>
      <c r="C1173">
        <v>146</v>
      </c>
      <c r="D1173">
        <v>37</v>
      </c>
      <c r="E1173">
        <v>1</v>
      </c>
      <c r="F1173">
        <v>5</v>
      </c>
      <c r="G1173" t="s">
        <v>1044</v>
      </c>
      <c r="H1173">
        <f>_xlfn.XLOOKUP(D1173, productos!$A$2:$A$150, productos!$D$2:$D$150, "No Encontrado", 0)</f>
        <v>3.65</v>
      </c>
      <c r="I1173">
        <f t="shared" si="18"/>
        <v>3.65</v>
      </c>
    </row>
    <row r="1174" spans="1:9" x14ac:dyDescent="0.25">
      <c r="A1174">
        <v>2241</v>
      </c>
      <c r="B1174" s="1">
        <v>45427</v>
      </c>
      <c r="C1174">
        <v>25</v>
      </c>
      <c r="D1174">
        <v>9</v>
      </c>
      <c r="E1174">
        <v>3</v>
      </c>
      <c r="F1174">
        <v>4</v>
      </c>
      <c r="G1174" t="s">
        <v>1044</v>
      </c>
      <c r="H1174">
        <f>_xlfn.XLOOKUP(D1174, productos!$A$2:$A$150, productos!$D$2:$D$150, "No Encontrado", 0)</f>
        <v>18.559999999999999</v>
      </c>
      <c r="I1174">
        <f t="shared" si="18"/>
        <v>55.679999999999993</v>
      </c>
    </row>
    <row r="1175" spans="1:9" x14ac:dyDescent="0.25">
      <c r="A1175">
        <v>655</v>
      </c>
      <c r="B1175" s="1">
        <v>45428</v>
      </c>
      <c r="C1175">
        <v>24</v>
      </c>
      <c r="D1175">
        <v>20</v>
      </c>
      <c r="E1175">
        <v>3</v>
      </c>
      <c r="F1175">
        <v>5</v>
      </c>
      <c r="G1175" t="s">
        <v>1044</v>
      </c>
      <c r="H1175">
        <f>_xlfn.XLOOKUP(D1175, productos!$A$2:$A$150, productos!$D$2:$D$150, "No Encontrado", 0)</f>
        <v>4.25</v>
      </c>
      <c r="I1175">
        <f t="shared" si="18"/>
        <v>12.75</v>
      </c>
    </row>
    <row r="1176" spans="1:9" x14ac:dyDescent="0.25">
      <c r="A1176">
        <v>728</v>
      </c>
      <c r="B1176" s="1">
        <v>45428</v>
      </c>
      <c r="C1176">
        <v>193</v>
      </c>
      <c r="D1176">
        <v>23</v>
      </c>
      <c r="E1176">
        <v>1</v>
      </c>
      <c r="F1176">
        <v>3</v>
      </c>
      <c r="G1176" t="s">
        <v>1044</v>
      </c>
      <c r="H1176">
        <f>_xlfn.XLOOKUP(D1176, productos!$A$2:$A$150, productos!$D$2:$D$150, "No Encontrado", 0)</f>
        <v>8.23</v>
      </c>
      <c r="I1176">
        <f t="shared" si="18"/>
        <v>8.23</v>
      </c>
    </row>
    <row r="1177" spans="1:9" x14ac:dyDescent="0.25">
      <c r="A1177">
        <v>1358</v>
      </c>
      <c r="B1177" s="1">
        <v>45428</v>
      </c>
      <c r="C1177">
        <v>115</v>
      </c>
      <c r="D1177">
        <v>19</v>
      </c>
      <c r="E1177">
        <v>2</v>
      </c>
      <c r="F1177">
        <v>5</v>
      </c>
      <c r="G1177" t="s">
        <v>1044</v>
      </c>
      <c r="H1177">
        <f>_xlfn.XLOOKUP(D1177, productos!$A$2:$A$150, productos!$D$2:$D$150, "No Encontrado", 0)</f>
        <v>6.54</v>
      </c>
      <c r="I1177">
        <f t="shared" si="18"/>
        <v>13.08</v>
      </c>
    </row>
    <row r="1178" spans="1:9" x14ac:dyDescent="0.25">
      <c r="A1178">
        <v>1368</v>
      </c>
      <c r="B1178" s="1">
        <v>45428</v>
      </c>
      <c r="C1178">
        <v>57</v>
      </c>
      <c r="D1178">
        <v>11</v>
      </c>
      <c r="E1178">
        <v>6</v>
      </c>
      <c r="F1178">
        <v>1</v>
      </c>
      <c r="G1178" t="s">
        <v>1044</v>
      </c>
      <c r="H1178">
        <f>_xlfn.XLOOKUP(D1178, productos!$A$2:$A$150, productos!$D$2:$D$150, "No Encontrado", 0)</f>
        <v>11.23</v>
      </c>
      <c r="I1178">
        <f t="shared" si="18"/>
        <v>67.38</v>
      </c>
    </row>
    <row r="1179" spans="1:9" x14ac:dyDescent="0.25">
      <c r="A1179">
        <v>1665</v>
      </c>
      <c r="B1179" s="1">
        <v>45428</v>
      </c>
      <c r="C1179">
        <v>191</v>
      </c>
      <c r="D1179">
        <v>26</v>
      </c>
      <c r="E1179">
        <v>3</v>
      </c>
      <c r="F1179">
        <v>1</v>
      </c>
      <c r="G1179" t="s">
        <v>1044</v>
      </c>
      <c r="H1179">
        <f>_xlfn.XLOOKUP(D1179, productos!$A$2:$A$150, productos!$D$2:$D$150, "No Encontrado", 0)</f>
        <v>9.5399999999999991</v>
      </c>
      <c r="I1179">
        <f t="shared" si="18"/>
        <v>28.619999999999997</v>
      </c>
    </row>
    <row r="1180" spans="1:9" x14ac:dyDescent="0.25">
      <c r="A1180">
        <v>1870</v>
      </c>
      <c r="B1180" s="1">
        <v>45428</v>
      </c>
      <c r="C1180">
        <v>307</v>
      </c>
      <c r="D1180">
        <v>29</v>
      </c>
      <c r="E1180">
        <v>3</v>
      </c>
      <c r="F1180">
        <v>1</v>
      </c>
      <c r="G1180" t="s">
        <v>1044</v>
      </c>
      <c r="H1180">
        <f>_xlfn.XLOOKUP(D1180, productos!$A$2:$A$150, productos!$D$2:$D$150, "No Encontrado", 0)</f>
        <v>11.54</v>
      </c>
      <c r="I1180">
        <f t="shared" si="18"/>
        <v>34.619999999999997</v>
      </c>
    </row>
    <row r="1181" spans="1:9" x14ac:dyDescent="0.25">
      <c r="A1181">
        <v>2221</v>
      </c>
      <c r="B1181" s="1">
        <v>45428</v>
      </c>
      <c r="C1181">
        <v>63</v>
      </c>
      <c r="D1181">
        <v>20</v>
      </c>
      <c r="E1181">
        <v>6</v>
      </c>
      <c r="F1181">
        <v>1</v>
      </c>
      <c r="G1181" t="s">
        <v>1044</v>
      </c>
      <c r="H1181">
        <f>_xlfn.XLOOKUP(D1181, productos!$A$2:$A$150, productos!$D$2:$D$150, "No Encontrado", 0)</f>
        <v>4.25</v>
      </c>
      <c r="I1181">
        <f t="shared" si="18"/>
        <v>25.5</v>
      </c>
    </row>
    <row r="1182" spans="1:9" x14ac:dyDescent="0.25">
      <c r="A1182">
        <v>2339</v>
      </c>
      <c r="B1182" s="1">
        <v>45428</v>
      </c>
      <c r="C1182">
        <v>6</v>
      </c>
      <c r="D1182">
        <v>21</v>
      </c>
      <c r="E1182">
        <v>6</v>
      </c>
      <c r="F1182">
        <v>5</v>
      </c>
      <c r="G1182" t="s">
        <v>1044</v>
      </c>
      <c r="H1182">
        <f>_xlfn.XLOOKUP(D1182, productos!$A$2:$A$150, productos!$D$2:$D$150, "No Encontrado", 0)</f>
        <v>3.25</v>
      </c>
      <c r="I1182">
        <f t="shared" si="18"/>
        <v>19.5</v>
      </c>
    </row>
    <row r="1183" spans="1:9" x14ac:dyDescent="0.25">
      <c r="A1183">
        <v>2921</v>
      </c>
      <c r="B1183" s="1">
        <v>45428</v>
      </c>
      <c r="C1183">
        <v>262</v>
      </c>
      <c r="D1183">
        <v>2</v>
      </c>
      <c r="E1183">
        <v>1</v>
      </c>
      <c r="F1183">
        <v>1</v>
      </c>
      <c r="G1183" t="s">
        <v>1045</v>
      </c>
      <c r="H1183">
        <f>_xlfn.XLOOKUP(D1183, productos!$A$2:$A$150, productos!$D$2:$D$150, "No Encontrado", 0)</f>
        <v>5.21</v>
      </c>
      <c r="I1183">
        <f t="shared" si="18"/>
        <v>5.21</v>
      </c>
    </row>
    <row r="1184" spans="1:9" x14ac:dyDescent="0.25">
      <c r="A1184">
        <v>1269</v>
      </c>
      <c r="B1184" s="1">
        <v>45429</v>
      </c>
      <c r="C1184">
        <v>106</v>
      </c>
      <c r="D1184">
        <v>7</v>
      </c>
      <c r="E1184">
        <v>4</v>
      </c>
      <c r="F1184">
        <v>5</v>
      </c>
      <c r="G1184" t="s">
        <v>1044</v>
      </c>
      <c r="H1184">
        <f>_xlfn.XLOOKUP(D1184, productos!$A$2:$A$150, productos!$D$2:$D$150, "No Encontrado", 0)</f>
        <v>11.25</v>
      </c>
      <c r="I1184">
        <f t="shared" si="18"/>
        <v>45</v>
      </c>
    </row>
    <row r="1185" spans="1:9" x14ac:dyDescent="0.25">
      <c r="A1185">
        <v>1294</v>
      </c>
      <c r="B1185" s="1">
        <v>45429</v>
      </c>
      <c r="C1185">
        <v>325</v>
      </c>
      <c r="D1185">
        <v>28</v>
      </c>
      <c r="E1185">
        <v>1</v>
      </c>
      <c r="F1185">
        <v>4</v>
      </c>
      <c r="G1185" t="s">
        <v>1044</v>
      </c>
      <c r="H1185">
        <f>_xlfn.XLOOKUP(D1185, productos!$A$2:$A$150, productos!$D$2:$D$150, "No Encontrado", 0)</f>
        <v>9.4499999999999993</v>
      </c>
      <c r="I1185">
        <f t="shared" si="18"/>
        <v>9.4499999999999993</v>
      </c>
    </row>
    <row r="1186" spans="1:9" x14ac:dyDescent="0.25">
      <c r="A1186">
        <v>1415</v>
      </c>
      <c r="B1186" s="1">
        <v>45429</v>
      </c>
      <c r="C1186">
        <v>119</v>
      </c>
      <c r="D1186">
        <v>8</v>
      </c>
      <c r="E1186">
        <v>5</v>
      </c>
      <c r="F1186">
        <v>4</v>
      </c>
      <c r="G1186" t="s">
        <v>1044</v>
      </c>
      <c r="H1186">
        <f>_xlfn.XLOOKUP(D1186, productos!$A$2:$A$150, productos!$D$2:$D$150, "No Encontrado", 0)</f>
        <v>16.21</v>
      </c>
      <c r="I1186">
        <f t="shared" si="18"/>
        <v>81.050000000000011</v>
      </c>
    </row>
    <row r="1187" spans="1:9" x14ac:dyDescent="0.25">
      <c r="A1187">
        <v>1569</v>
      </c>
      <c r="B1187" s="1">
        <v>45429</v>
      </c>
      <c r="C1187">
        <v>194</v>
      </c>
      <c r="D1187">
        <v>33</v>
      </c>
      <c r="E1187">
        <v>5</v>
      </c>
      <c r="F1187">
        <v>3</v>
      </c>
      <c r="G1187" t="s">
        <v>1044</v>
      </c>
      <c r="H1187">
        <f>_xlfn.XLOOKUP(D1187, productos!$A$2:$A$150, productos!$D$2:$D$150, "No Encontrado", 0)</f>
        <v>8.5399999999999991</v>
      </c>
      <c r="I1187">
        <f t="shared" si="18"/>
        <v>42.699999999999996</v>
      </c>
    </row>
    <row r="1188" spans="1:9" x14ac:dyDescent="0.25">
      <c r="A1188">
        <v>1804</v>
      </c>
      <c r="B1188" s="1">
        <v>45429</v>
      </c>
      <c r="C1188">
        <v>184</v>
      </c>
      <c r="D1188">
        <v>4</v>
      </c>
      <c r="E1188">
        <v>2</v>
      </c>
      <c r="F1188">
        <v>1</v>
      </c>
      <c r="G1188" t="s">
        <v>1044</v>
      </c>
      <c r="H1188">
        <f>_xlfn.XLOOKUP(D1188, productos!$A$2:$A$150, productos!$D$2:$D$150, "No Encontrado", 0)</f>
        <v>19.23</v>
      </c>
      <c r="I1188">
        <f t="shared" si="18"/>
        <v>38.46</v>
      </c>
    </row>
    <row r="1189" spans="1:9" x14ac:dyDescent="0.25">
      <c r="A1189">
        <v>2451</v>
      </c>
      <c r="B1189" s="1">
        <v>45429</v>
      </c>
      <c r="C1189">
        <v>311</v>
      </c>
      <c r="D1189">
        <v>12</v>
      </c>
      <c r="E1189">
        <v>1</v>
      </c>
      <c r="F1189">
        <v>3</v>
      </c>
      <c r="G1189" t="s">
        <v>1044</v>
      </c>
      <c r="H1189">
        <f>_xlfn.XLOOKUP(D1189, productos!$A$2:$A$150, productos!$D$2:$D$150, "No Encontrado", 0)</f>
        <v>8.1199999999999992</v>
      </c>
      <c r="I1189">
        <f t="shared" si="18"/>
        <v>8.1199999999999992</v>
      </c>
    </row>
    <row r="1190" spans="1:9" x14ac:dyDescent="0.25">
      <c r="A1190">
        <v>2674</v>
      </c>
      <c r="B1190" s="1">
        <v>45429</v>
      </c>
      <c r="C1190">
        <v>165</v>
      </c>
      <c r="D1190">
        <v>20</v>
      </c>
      <c r="E1190">
        <v>2</v>
      </c>
      <c r="F1190">
        <v>3</v>
      </c>
      <c r="G1190" t="s">
        <v>1044</v>
      </c>
      <c r="H1190">
        <f>_xlfn.XLOOKUP(D1190, productos!$A$2:$A$150, productos!$D$2:$D$150, "No Encontrado", 0)</f>
        <v>4.25</v>
      </c>
      <c r="I1190">
        <f t="shared" si="18"/>
        <v>8.5</v>
      </c>
    </row>
    <row r="1191" spans="1:9" x14ac:dyDescent="0.25">
      <c r="A1191">
        <v>2882</v>
      </c>
      <c r="B1191" s="1">
        <v>45429</v>
      </c>
      <c r="C1191">
        <v>23</v>
      </c>
      <c r="D1191">
        <v>25</v>
      </c>
      <c r="E1191">
        <v>2</v>
      </c>
      <c r="F1191">
        <v>5</v>
      </c>
      <c r="G1191" t="s">
        <v>1044</v>
      </c>
      <c r="H1191">
        <f>_xlfn.XLOOKUP(D1191, productos!$A$2:$A$150, productos!$D$2:$D$150, "No Encontrado", 0)</f>
        <v>15.45</v>
      </c>
      <c r="I1191">
        <f t="shared" si="18"/>
        <v>30.9</v>
      </c>
    </row>
    <row r="1192" spans="1:9" x14ac:dyDescent="0.25">
      <c r="A1192">
        <v>808</v>
      </c>
      <c r="B1192" s="1">
        <v>45430</v>
      </c>
      <c r="C1192">
        <v>273</v>
      </c>
      <c r="D1192">
        <v>28</v>
      </c>
      <c r="E1192">
        <v>6</v>
      </c>
      <c r="F1192">
        <v>1</v>
      </c>
      <c r="G1192" t="s">
        <v>1045</v>
      </c>
      <c r="H1192">
        <f>_xlfn.XLOOKUP(D1192, productos!$A$2:$A$150, productos!$D$2:$D$150, "No Encontrado", 0)</f>
        <v>9.4499999999999993</v>
      </c>
      <c r="I1192">
        <f t="shared" si="18"/>
        <v>56.699999999999996</v>
      </c>
    </row>
    <row r="1193" spans="1:9" x14ac:dyDescent="0.25">
      <c r="A1193">
        <v>989</v>
      </c>
      <c r="B1193" s="1">
        <v>45430</v>
      </c>
      <c r="C1193">
        <v>115</v>
      </c>
      <c r="D1193">
        <v>6</v>
      </c>
      <c r="E1193">
        <v>4</v>
      </c>
      <c r="F1193">
        <v>3</v>
      </c>
      <c r="G1193" t="s">
        <v>1045</v>
      </c>
      <c r="H1193">
        <f>_xlfn.XLOOKUP(D1193, productos!$A$2:$A$150, productos!$D$2:$D$150, "No Encontrado", 0)</f>
        <v>28.56</v>
      </c>
      <c r="I1193">
        <f t="shared" si="18"/>
        <v>114.24</v>
      </c>
    </row>
    <row r="1194" spans="1:9" x14ac:dyDescent="0.25">
      <c r="A1194">
        <v>1431</v>
      </c>
      <c r="B1194" s="1">
        <v>45430</v>
      </c>
      <c r="C1194">
        <v>43</v>
      </c>
      <c r="D1194">
        <v>29</v>
      </c>
      <c r="E1194">
        <v>3</v>
      </c>
      <c r="F1194">
        <v>5</v>
      </c>
      <c r="G1194" t="s">
        <v>1044</v>
      </c>
      <c r="H1194">
        <f>_xlfn.XLOOKUP(D1194, productos!$A$2:$A$150, productos!$D$2:$D$150, "No Encontrado", 0)</f>
        <v>11.54</v>
      </c>
      <c r="I1194">
        <f t="shared" si="18"/>
        <v>34.619999999999997</v>
      </c>
    </row>
    <row r="1195" spans="1:9" x14ac:dyDescent="0.25">
      <c r="A1195">
        <v>1703</v>
      </c>
      <c r="B1195" s="1">
        <v>45430</v>
      </c>
      <c r="C1195">
        <v>150</v>
      </c>
      <c r="D1195">
        <v>37</v>
      </c>
      <c r="E1195">
        <v>3</v>
      </c>
      <c r="F1195">
        <v>4</v>
      </c>
      <c r="G1195" t="s">
        <v>1044</v>
      </c>
      <c r="H1195">
        <f>_xlfn.XLOOKUP(D1195, productos!$A$2:$A$150, productos!$D$2:$D$150, "No Encontrado", 0)</f>
        <v>3.65</v>
      </c>
      <c r="I1195">
        <f t="shared" si="18"/>
        <v>10.95</v>
      </c>
    </row>
    <row r="1196" spans="1:9" x14ac:dyDescent="0.25">
      <c r="A1196">
        <v>1905</v>
      </c>
      <c r="B1196" s="1">
        <v>45430</v>
      </c>
      <c r="C1196">
        <v>275</v>
      </c>
      <c r="D1196">
        <v>16</v>
      </c>
      <c r="E1196">
        <v>1</v>
      </c>
      <c r="F1196">
        <v>1</v>
      </c>
      <c r="G1196" t="s">
        <v>1044</v>
      </c>
      <c r="H1196">
        <f>_xlfn.XLOOKUP(D1196, productos!$A$2:$A$150, productos!$D$2:$D$150, "No Encontrado", 0)</f>
        <v>15.23</v>
      </c>
      <c r="I1196">
        <f t="shared" si="18"/>
        <v>15.23</v>
      </c>
    </row>
    <row r="1197" spans="1:9" x14ac:dyDescent="0.25">
      <c r="A1197">
        <v>542</v>
      </c>
      <c r="B1197" s="1">
        <v>45431</v>
      </c>
      <c r="C1197">
        <v>64</v>
      </c>
      <c r="D1197">
        <v>15</v>
      </c>
      <c r="E1197">
        <v>1</v>
      </c>
      <c r="F1197">
        <v>3</v>
      </c>
      <c r="G1197" t="s">
        <v>1044</v>
      </c>
      <c r="H1197">
        <f>_xlfn.XLOOKUP(D1197, productos!$A$2:$A$150, productos!$D$2:$D$150, "No Encontrado", 0)</f>
        <v>3.51</v>
      </c>
      <c r="I1197">
        <f t="shared" si="18"/>
        <v>3.51</v>
      </c>
    </row>
    <row r="1198" spans="1:9" x14ac:dyDescent="0.25">
      <c r="A1198">
        <v>1239</v>
      </c>
      <c r="B1198" s="1">
        <v>45431</v>
      </c>
      <c r="C1198">
        <v>254</v>
      </c>
      <c r="D1198">
        <v>34</v>
      </c>
      <c r="E1198">
        <v>1</v>
      </c>
      <c r="F1198">
        <v>1</v>
      </c>
      <c r="G1198" t="s">
        <v>1044</v>
      </c>
      <c r="H1198">
        <f>_xlfn.XLOOKUP(D1198, productos!$A$2:$A$150, productos!$D$2:$D$150, "No Encontrado", 0)</f>
        <v>5.45</v>
      </c>
      <c r="I1198">
        <f t="shared" si="18"/>
        <v>5.45</v>
      </c>
    </row>
    <row r="1199" spans="1:9" x14ac:dyDescent="0.25">
      <c r="A1199">
        <v>1328</v>
      </c>
      <c r="B1199" s="1">
        <v>45431</v>
      </c>
      <c r="C1199">
        <v>91</v>
      </c>
      <c r="D1199">
        <v>29</v>
      </c>
      <c r="E1199">
        <v>2</v>
      </c>
      <c r="F1199">
        <v>4</v>
      </c>
      <c r="G1199" t="s">
        <v>1044</v>
      </c>
      <c r="H1199">
        <f>_xlfn.XLOOKUP(D1199, productos!$A$2:$A$150, productos!$D$2:$D$150, "No Encontrado", 0)</f>
        <v>11.54</v>
      </c>
      <c r="I1199">
        <f t="shared" si="18"/>
        <v>23.08</v>
      </c>
    </row>
    <row r="1200" spans="1:9" x14ac:dyDescent="0.25">
      <c r="A1200">
        <v>1838</v>
      </c>
      <c r="B1200" s="1">
        <v>45431</v>
      </c>
      <c r="C1200">
        <v>299</v>
      </c>
      <c r="D1200">
        <v>26</v>
      </c>
      <c r="E1200">
        <v>5</v>
      </c>
      <c r="F1200">
        <v>4</v>
      </c>
      <c r="G1200" t="s">
        <v>1044</v>
      </c>
      <c r="H1200">
        <f>_xlfn.XLOOKUP(D1200, productos!$A$2:$A$150, productos!$D$2:$D$150, "No Encontrado", 0)</f>
        <v>9.5399999999999991</v>
      </c>
      <c r="I1200">
        <f t="shared" si="18"/>
        <v>47.699999999999996</v>
      </c>
    </row>
    <row r="1201" spans="1:9" x14ac:dyDescent="0.25">
      <c r="A1201">
        <v>1974</v>
      </c>
      <c r="B1201" s="1">
        <v>45431</v>
      </c>
      <c r="C1201">
        <v>99</v>
      </c>
      <c r="D1201">
        <v>17</v>
      </c>
      <c r="E1201">
        <v>1</v>
      </c>
      <c r="F1201">
        <v>4</v>
      </c>
      <c r="G1201" t="s">
        <v>1044</v>
      </c>
      <c r="H1201">
        <f>_xlfn.XLOOKUP(D1201, productos!$A$2:$A$150, productos!$D$2:$D$150, "No Encontrado", 0)</f>
        <v>6.54</v>
      </c>
      <c r="I1201">
        <f t="shared" si="18"/>
        <v>6.54</v>
      </c>
    </row>
    <row r="1202" spans="1:9" x14ac:dyDescent="0.25">
      <c r="A1202">
        <v>2232</v>
      </c>
      <c r="B1202" s="1">
        <v>45431</v>
      </c>
      <c r="C1202">
        <v>64</v>
      </c>
      <c r="D1202">
        <v>20</v>
      </c>
      <c r="E1202">
        <v>1</v>
      </c>
      <c r="F1202">
        <v>1</v>
      </c>
      <c r="G1202" t="s">
        <v>1044</v>
      </c>
      <c r="H1202">
        <f>_xlfn.XLOOKUP(D1202, productos!$A$2:$A$150, productos!$D$2:$D$150, "No Encontrado", 0)</f>
        <v>4.25</v>
      </c>
      <c r="I1202">
        <f t="shared" si="18"/>
        <v>4.25</v>
      </c>
    </row>
    <row r="1203" spans="1:9" x14ac:dyDescent="0.25">
      <c r="A1203">
        <v>461</v>
      </c>
      <c r="B1203" s="1">
        <v>45432</v>
      </c>
      <c r="C1203">
        <v>185</v>
      </c>
      <c r="D1203">
        <v>16</v>
      </c>
      <c r="E1203">
        <v>1</v>
      </c>
      <c r="F1203">
        <v>5</v>
      </c>
      <c r="G1203" t="s">
        <v>1044</v>
      </c>
      <c r="H1203">
        <f>_xlfn.XLOOKUP(D1203, productos!$A$2:$A$150, productos!$D$2:$D$150, "No Encontrado", 0)</f>
        <v>15.23</v>
      </c>
      <c r="I1203">
        <f t="shared" si="18"/>
        <v>15.23</v>
      </c>
    </row>
    <row r="1204" spans="1:9" x14ac:dyDescent="0.25">
      <c r="A1204">
        <v>824</v>
      </c>
      <c r="B1204" s="1">
        <v>45432</v>
      </c>
      <c r="C1204">
        <v>292</v>
      </c>
      <c r="D1204">
        <v>38</v>
      </c>
      <c r="E1204">
        <v>1</v>
      </c>
      <c r="F1204">
        <v>1</v>
      </c>
      <c r="G1204" t="s">
        <v>1045</v>
      </c>
      <c r="H1204">
        <f>_xlfn.XLOOKUP(D1204, productos!$A$2:$A$150, productos!$D$2:$D$150, "No Encontrado", 0)</f>
        <v>6.21</v>
      </c>
      <c r="I1204">
        <f t="shared" si="18"/>
        <v>6.21</v>
      </c>
    </row>
    <row r="1205" spans="1:9" x14ac:dyDescent="0.25">
      <c r="A1205">
        <v>1587</v>
      </c>
      <c r="B1205" s="1">
        <v>45432</v>
      </c>
      <c r="C1205">
        <v>153</v>
      </c>
      <c r="D1205">
        <v>31</v>
      </c>
      <c r="E1205">
        <v>1</v>
      </c>
      <c r="F1205">
        <v>4</v>
      </c>
      <c r="G1205" t="s">
        <v>1044</v>
      </c>
      <c r="H1205">
        <f>_xlfn.XLOOKUP(D1205, productos!$A$2:$A$150, productos!$D$2:$D$150, "No Encontrado", 0)</f>
        <v>5.24</v>
      </c>
      <c r="I1205">
        <f t="shared" si="18"/>
        <v>5.24</v>
      </c>
    </row>
    <row r="1206" spans="1:9" x14ac:dyDescent="0.25">
      <c r="A1206">
        <v>1727</v>
      </c>
      <c r="B1206" s="1">
        <v>45432</v>
      </c>
      <c r="C1206">
        <v>128</v>
      </c>
      <c r="D1206">
        <v>14</v>
      </c>
      <c r="E1206">
        <v>6</v>
      </c>
      <c r="F1206">
        <v>3</v>
      </c>
      <c r="G1206" t="s">
        <v>1044</v>
      </c>
      <c r="H1206">
        <f>_xlfn.XLOOKUP(D1206, productos!$A$2:$A$150, productos!$D$2:$D$150, "No Encontrado", 0)</f>
        <v>12.36</v>
      </c>
      <c r="I1206">
        <f t="shared" si="18"/>
        <v>74.16</v>
      </c>
    </row>
    <row r="1207" spans="1:9" x14ac:dyDescent="0.25">
      <c r="A1207">
        <v>1823</v>
      </c>
      <c r="B1207" s="1">
        <v>45432</v>
      </c>
      <c r="C1207">
        <v>189</v>
      </c>
      <c r="D1207">
        <v>4</v>
      </c>
      <c r="E1207">
        <v>1</v>
      </c>
      <c r="F1207">
        <v>4</v>
      </c>
      <c r="G1207" t="s">
        <v>1044</v>
      </c>
      <c r="H1207">
        <f>_xlfn.XLOOKUP(D1207, productos!$A$2:$A$150, productos!$D$2:$D$150, "No Encontrado", 0)</f>
        <v>19.23</v>
      </c>
      <c r="I1207">
        <f t="shared" si="18"/>
        <v>19.23</v>
      </c>
    </row>
    <row r="1208" spans="1:9" x14ac:dyDescent="0.25">
      <c r="A1208">
        <v>1831</v>
      </c>
      <c r="B1208" s="1">
        <v>45432</v>
      </c>
      <c r="C1208">
        <v>306</v>
      </c>
      <c r="D1208">
        <v>10</v>
      </c>
      <c r="E1208">
        <v>4</v>
      </c>
      <c r="F1208">
        <v>2</v>
      </c>
      <c r="G1208" t="s">
        <v>1044</v>
      </c>
      <c r="H1208">
        <f>_xlfn.XLOOKUP(D1208, productos!$A$2:$A$150, productos!$D$2:$D$150, "No Encontrado", 0)</f>
        <v>14.25</v>
      </c>
      <c r="I1208">
        <f t="shared" si="18"/>
        <v>57</v>
      </c>
    </row>
    <row r="1209" spans="1:9" x14ac:dyDescent="0.25">
      <c r="A1209">
        <v>1919</v>
      </c>
      <c r="B1209" s="1">
        <v>45432</v>
      </c>
      <c r="C1209">
        <v>67</v>
      </c>
      <c r="D1209">
        <v>36</v>
      </c>
      <c r="E1209">
        <v>3</v>
      </c>
      <c r="F1209">
        <v>4</v>
      </c>
      <c r="G1209" t="s">
        <v>1045</v>
      </c>
      <c r="H1209">
        <f>_xlfn.XLOOKUP(D1209, productos!$A$2:$A$150, productos!$D$2:$D$150, "No Encontrado", 0)</f>
        <v>3.25</v>
      </c>
      <c r="I1209">
        <f t="shared" si="18"/>
        <v>9.75</v>
      </c>
    </row>
    <row r="1210" spans="1:9" x14ac:dyDescent="0.25">
      <c r="A1210">
        <v>2196</v>
      </c>
      <c r="B1210" s="1">
        <v>45432</v>
      </c>
      <c r="C1210">
        <v>175</v>
      </c>
      <c r="D1210">
        <v>23</v>
      </c>
      <c r="E1210">
        <v>2</v>
      </c>
      <c r="F1210">
        <v>4</v>
      </c>
      <c r="G1210" t="s">
        <v>1044</v>
      </c>
      <c r="H1210">
        <f>_xlfn.XLOOKUP(D1210, productos!$A$2:$A$150, productos!$D$2:$D$150, "No Encontrado", 0)</f>
        <v>8.23</v>
      </c>
      <c r="I1210">
        <f t="shared" si="18"/>
        <v>16.46</v>
      </c>
    </row>
    <row r="1211" spans="1:9" x14ac:dyDescent="0.25">
      <c r="A1211">
        <v>2928</v>
      </c>
      <c r="B1211" s="1">
        <v>45432</v>
      </c>
      <c r="C1211">
        <v>159</v>
      </c>
      <c r="D1211">
        <v>15</v>
      </c>
      <c r="E1211">
        <v>1</v>
      </c>
      <c r="F1211">
        <v>1</v>
      </c>
      <c r="G1211" t="s">
        <v>1044</v>
      </c>
      <c r="H1211">
        <f>_xlfn.XLOOKUP(D1211, productos!$A$2:$A$150, productos!$D$2:$D$150, "No Encontrado", 0)</f>
        <v>3.51</v>
      </c>
      <c r="I1211">
        <f t="shared" si="18"/>
        <v>3.51</v>
      </c>
    </row>
    <row r="1212" spans="1:9" x14ac:dyDescent="0.25">
      <c r="A1212">
        <v>380</v>
      </c>
      <c r="B1212" s="1">
        <v>45433</v>
      </c>
      <c r="C1212">
        <v>24</v>
      </c>
      <c r="D1212">
        <v>5</v>
      </c>
      <c r="E1212">
        <v>5</v>
      </c>
      <c r="F1212">
        <v>4</v>
      </c>
      <c r="G1212" t="s">
        <v>1045</v>
      </c>
      <c r="H1212">
        <f>_xlfn.XLOOKUP(D1212, productos!$A$2:$A$150, productos!$D$2:$D$150, "No Encontrado", 0)</f>
        <v>5.65</v>
      </c>
      <c r="I1212">
        <f t="shared" si="18"/>
        <v>28.25</v>
      </c>
    </row>
    <row r="1213" spans="1:9" x14ac:dyDescent="0.25">
      <c r="A1213">
        <v>652</v>
      </c>
      <c r="B1213" s="1">
        <v>45433</v>
      </c>
      <c r="C1213">
        <v>316</v>
      </c>
      <c r="D1213">
        <v>23</v>
      </c>
      <c r="E1213">
        <v>1</v>
      </c>
      <c r="F1213">
        <v>4</v>
      </c>
      <c r="G1213" t="s">
        <v>1044</v>
      </c>
      <c r="H1213">
        <f>_xlfn.XLOOKUP(D1213, productos!$A$2:$A$150, productos!$D$2:$D$150, "No Encontrado", 0)</f>
        <v>8.23</v>
      </c>
      <c r="I1213">
        <f t="shared" si="18"/>
        <v>8.23</v>
      </c>
    </row>
    <row r="1214" spans="1:9" x14ac:dyDescent="0.25">
      <c r="A1214">
        <v>723</v>
      </c>
      <c r="B1214" s="1">
        <v>45433</v>
      </c>
      <c r="C1214">
        <v>101</v>
      </c>
      <c r="D1214">
        <v>10</v>
      </c>
      <c r="E1214">
        <v>3</v>
      </c>
      <c r="F1214">
        <v>3</v>
      </c>
      <c r="G1214" t="s">
        <v>1045</v>
      </c>
      <c r="H1214">
        <f>_xlfn.XLOOKUP(D1214, productos!$A$2:$A$150, productos!$D$2:$D$150, "No Encontrado", 0)</f>
        <v>14.25</v>
      </c>
      <c r="I1214">
        <f t="shared" si="18"/>
        <v>42.75</v>
      </c>
    </row>
    <row r="1215" spans="1:9" x14ac:dyDescent="0.25">
      <c r="A1215">
        <v>1248</v>
      </c>
      <c r="B1215" s="1">
        <v>45433</v>
      </c>
      <c r="C1215">
        <v>86</v>
      </c>
      <c r="D1215">
        <v>2</v>
      </c>
      <c r="E1215">
        <v>3</v>
      </c>
      <c r="F1215">
        <v>1</v>
      </c>
      <c r="G1215" t="s">
        <v>1045</v>
      </c>
      <c r="H1215">
        <f>_xlfn.XLOOKUP(D1215, productos!$A$2:$A$150, productos!$D$2:$D$150, "No Encontrado", 0)</f>
        <v>5.21</v>
      </c>
      <c r="I1215">
        <f t="shared" si="18"/>
        <v>15.629999999999999</v>
      </c>
    </row>
    <row r="1216" spans="1:9" x14ac:dyDescent="0.25">
      <c r="A1216">
        <v>1398</v>
      </c>
      <c r="B1216" s="1">
        <v>45433</v>
      </c>
      <c r="C1216">
        <v>202</v>
      </c>
      <c r="D1216">
        <v>24</v>
      </c>
      <c r="E1216">
        <v>3</v>
      </c>
      <c r="F1216">
        <v>4</v>
      </c>
      <c r="G1216" t="s">
        <v>1044</v>
      </c>
      <c r="H1216">
        <f>_xlfn.XLOOKUP(D1216, productos!$A$2:$A$150, productos!$D$2:$D$150, "No Encontrado", 0)</f>
        <v>13.54</v>
      </c>
      <c r="I1216">
        <f t="shared" si="18"/>
        <v>40.619999999999997</v>
      </c>
    </row>
    <row r="1217" spans="1:9" x14ac:dyDescent="0.25">
      <c r="A1217">
        <v>1448</v>
      </c>
      <c r="B1217" s="1">
        <v>45433</v>
      </c>
      <c r="C1217">
        <v>289</v>
      </c>
      <c r="D1217">
        <v>26</v>
      </c>
      <c r="E1217">
        <v>5</v>
      </c>
      <c r="F1217">
        <v>5</v>
      </c>
      <c r="G1217" t="s">
        <v>1044</v>
      </c>
      <c r="H1217">
        <f>_xlfn.XLOOKUP(D1217, productos!$A$2:$A$150, productos!$D$2:$D$150, "No Encontrado", 0)</f>
        <v>9.5399999999999991</v>
      </c>
      <c r="I1217">
        <f t="shared" si="18"/>
        <v>47.699999999999996</v>
      </c>
    </row>
    <row r="1218" spans="1:9" x14ac:dyDescent="0.25">
      <c r="A1218">
        <v>1888</v>
      </c>
      <c r="B1218" s="1">
        <v>45433</v>
      </c>
      <c r="C1218">
        <v>281</v>
      </c>
      <c r="D1218">
        <v>32</v>
      </c>
      <c r="E1218">
        <v>5</v>
      </c>
      <c r="F1218">
        <v>3</v>
      </c>
      <c r="G1218" t="s">
        <v>1044</v>
      </c>
      <c r="H1218">
        <f>_xlfn.XLOOKUP(D1218, productos!$A$2:$A$150, productos!$D$2:$D$150, "No Encontrado", 0)</f>
        <v>6.25</v>
      </c>
      <c r="I1218">
        <f t="shared" si="18"/>
        <v>31.25</v>
      </c>
    </row>
    <row r="1219" spans="1:9" x14ac:dyDescent="0.25">
      <c r="A1219">
        <v>2712</v>
      </c>
      <c r="B1219" s="1">
        <v>45433</v>
      </c>
      <c r="C1219">
        <v>303</v>
      </c>
      <c r="D1219">
        <v>30</v>
      </c>
      <c r="E1219">
        <v>5</v>
      </c>
      <c r="F1219">
        <v>1</v>
      </c>
      <c r="G1219" t="s">
        <v>1044</v>
      </c>
      <c r="H1219">
        <f>_xlfn.XLOOKUP(D1219, productos!$A$2:$A$150, productos!$D$2:$D$150, "No Encontrado", 0)</f>
        <v>13.54</v>
      </c>
      <c r="I1219">
        <f t="shared" ref="I1219:I1282" si="19">E1219*H1219</f>
        <v>67.699999999999989</v>
      </c>
    </row>
    <row r="1220" spans="1:9" x14ac:dyDescent="0.25">
      <c r="A1220">
        <v>329</v>
      </c>
      <c r="B1220" s="1">
        <v>45434</v>
      </c>
      <c r="C1220">
        <v>234</v>
      </c>
      <c r="D1220">
        <v>13</v>
      </c>
      <c r="E1220">
        <v>2</v>
      </c>
      <c r="F1220">
        <v>5</v>
      </c>
      <c r="G1220" t="s">
        <v>1044</v>
      </c>
      <c r="H1220">
        <f>_xlfn.XLOOKUP(D1220, productos!$A$2:$A$150, productos!$D$2:$D$150, "No Encontrado", 0)</f>
        <v>12.56</v>
      </c>
      <c r="I1220">
        <f t="shared" si="19"/>
        <v>25.12</v>
      </c>
    </row>
    <row r="1221" spans="1:9" x14ac:dyDescent="0.25">
      <c r="A1221">
        <v>706</v>
      </c>
      <c r="B1221" s="1">
        <v>45434</v>
      </c>
      <c r="C1221">
        <v>287</v>
      </c>
      <c r="D1221">
        <v>1</v>
      </c>
      <c r="E1221">
        <v>1</v>
      </c>
      <c r="F1221">
        <v>4</v>
      </c>
      <c r="G1221" t="s">
        <v>1044</v>
      </c>
      <c r="H1221">
        <f>_xlfn.XLOOKUP(D1221, productos!$A$2:$A$150, productos!$D$2:$D$150, "No Encontrado", 0)</f>
        <v>12.24</v>
      </c>
      <c r="I1221">
        <f t="shared" si="19"/>
        <v>12.24</v>
      </c>
    </row>
    <row r="1222" spans="1:9" x14ac:dyDescent="0.25">
      <c r="A1222">
        <v>1081</v>
      </c>
      <c r="B1222" s="1">
        <v>45434</v>
      </c>
      <c r="C1222">
        <v>249</v>
      </c>
      <c r="D1222">
        <v>21</v>
      </c>
      <c r="E1222">
        <v>3</v>
      </c>
      <c r="F1222">
        <v>4</v>
      </c>
      <c r="G1222" t="s">
        <v>1044</v>
      </c>
      <c r="H1222">
        <f>_xlfn.XLOOKUP(D1222, productos!$A$2:$A$150, productos!$D$2:$D$150, "No Encontrado", 0)</f>
        <v>3.25</v>
      </c>
      <c r="I1222">
        <f t="shared" si="19"/>
        <v>9.75</v>
      </c>
    </row>
    <row r="1223" spans="1:9" x14ac:dyDescent="0.25">
      <c r="A1223">
        <v>1794</v>
      </c>
      <c r="B1223" s="1">
        <v>45434</v>
      </c>
      <c r="C1223">
        <v>144</v>
      </c>
      <c r="D1223">
        <v>5</v>
      </c>
      <c r="E1223">
        <v>6</v>
      </c>
      <c r="F1223">
        <v>5</v>
      </c>
      <c r="G1223" t="s">
        <v>1045</v>
      </c>
      <c r="H1223">
        <f>_xlfn.XLOOKUP(D1223, productos!$A$2:$A$150, productos!$D$2:$D$150, "No Encontrado", 0)</f>
        <v>5.65</v>
      </c>
      <c r="I1223">
        <f t="shared" si="19"/>
        <v>33.900000000000006</v>
      </c>
    </row>
    <row r="1224" spans="1:9" x14ac:dyDescent="0.25">
      <c r="A1224">
        <v>2018</v>
      </c>
      <c r="B1224" s="1">
        <v>45434</v>
      </c>
      <c r="C1224">
        <v>69</v>
      </c>
      <c r="D1224">
        <v>27</v>
      </c>
      <c r="E1224">
        <v>6</v>
      </c>
      <c r="F1224">
        <v>1</v>
      </c>
      <c r="G1224" t="s">
        <v>1044</v>
      </c>
      <c r="H1224">
        <f>_xlfn.XLOOKUP(D1224, productos!$A$2:$A$150, productos!$D$2:$D$150, "No Encontrado", 0)</f>
        <v>6.21</v>
      </c>
      <c r="I1224">
        <f t="shared" si="19"/>
        <v>37.26</v>
      </c>
    </row>
    <row r="1225" spans="1:9" x14ac:dyDescent="0.25">
      <c r="A1225">
        <v>393</v>
      </c>
      <c r="B1225" s="1">
        <v>45435</v>
      </c>
      <c r="C1225">
        <v>195</v>
      </c>
      <c r="D1225">
        <v>30</v>
      </c>
      <c r="E1225">
        <v>4</v>
      </c>
      <c r="F1225">
        <v>4</v>
      </c>
      <c r="G1225" t="s">
        <v>1044</v>
      </c>
      <c r="H1225">
        <f>_xlfn.XLOOKUP(D1225, productos!$A$2:$A$150, productos!$D$2:$D$150, "No Encontrado", 0)</f>
        <v>13.54</v>
      </c>
      <c r="I1225">
        <f t="shared" si="19"/>
        <v>54.16</v>
      </c>
    </row>
    <row r="1226" spans="1:9" x14ac:dyDescent="0.25">
      <c r="A1226">
        <v>951</v>
      </c>
      <c r="B1226" s="1">
        <v>45435</v>
      </c>
      <c r="C1226">
        <v>152</v>
      </c>
      <c r="D1226">
        <v>14</v>
      </c>
      <c r="E1226">
        <v>1</v>
      </c>
      <c r="F1226">
        <v>5</v>
      </c>
      <c r="G1226" t="s">
        <v>1044</v>
      </c>
      <c r="H1226">
        <f>_xlfn.XLOOKUP(D1226, productos!$A$2:$A$150, productos!$D$2:$D$150, "No Encontrado", 0)</f>
        <v>12.36</v>
      </c>
      <c r="I1226">
        <f t="shared" si="19"/>
        <v>12.36</v>
      </c>
    </row>
    <row r="1227" spans="1:9" x14ac:dyDescent="0.25">
      <c r="A1227">
        <v>1291</v>
      </c>
      <c r="B1227" s="1">
        <v>45435</v>
      </c>
      <c r="C1227">
        <v>32</v>
      </c>
      <c r="D1227">
        <v>29</v>
      </c>
      <c r="E1227">
        <v>1</v>
      </c>
      <c r="F1227">
        <v>3</v>
      </c>
      <c r="G1227" t="s">
        <v>1044</v>
      </c>
      <c r="H1227">
        <f>_xlfn.XLOOKUP(D1227, productos!$A$2:$A$150, productos!$D$2:$D$150, "No Encontrado", 0)</f>
        <v>11.54</v>
      </c>
      <c r="I1227">
        <f t="shared" si="19"/>
        <v>11.54</v>
      </c>
    </row>
    <row r="1228" spans="1:9" x14ac:dyDescent="0.25">
      <c r="A1228">
        <v>1602</v>
      </c>
      <c r="B1228" s="1">
        <v>45435</v>
      </c>
      <c r="C1228">
        <v>123</v>
      </c>
      <c r="D1228">
        <v>31</v>
      </c>
      <c r="E1228">
        <v>2</v>
      </c>
      <c r="F1228">
        <v>1</v>
      </c>
      <c r="G1228" t="s">
        <v>1044</v>
      </c>
      <c r="H1228">
        <f>_xlfn.XLOOKUP(D1228, productos!$A$2:$A$150, productos!$D$2:$D$150, "No Encontrado", 0)</f>
        <v>5.24</v>
      </c>
      <c r="I1228">
        <f t="shared" si="19"/>
        <v>10.48</v>
      </c>
    </row>
    <row r="1229" spans="1:9" x14ac:dyDescent="0.25">
      <c r="A1229">
        <v>1690</v>
      </c>
      <c r="B1229" s="1">
        <v>45435</v>
      </c>
      <c r="C1229">
        <v>94</v>
      </c>
      <c r="D1229">
        <v>24</v>
      </c>
      <c r="E1229">
        <v>3</v>
      </c>
      <c r="F1229">
        <v>5</v>
      </c>
      <c r="G1229" t="s">
        <v>1044</v>
      </c>
      <c r="H1229">
        <f>_xlfn.XLOOKUP(D1229, productos!$A$2:$A$150, productos!$D$2:$D$150, "No Encontrado", 0)</f>
        <v>13.54</v>
      </c>
      <c r="I1229">
        <f t="shared" si="19"/>
        <v>40.619999999999997</v>
      </c>
    </row>
    <row r="1230" spans="1:9" x14ac:dyDescent="0.25">
      <c r="A1230">
        <v>1906</v>
      </c>
      <c r="B1230" s="1">
        <v>45435</v>
      </c>
      <c r="C1230">
        <v>158</v>
      </c>
      <c r="D1230">
        <v>21</v>
      </c>
      <c r="E1230">
        <v>3</v>
      </c>
      <c r="F1230">
        <v>5</v>
      </c>
      <c r="G1230" t="s">
        <v>1044</v>
      </c>
      <c r="H1230">
        <f>_xlfn.XLOOKUP(D1230, productos!$A$2:$A$150, productos!$D$2:$D$150, "No Encontrado", 0)</f>
        <v>3.25</v>
      </c>
      <c r="I1230">
        <f t="shared" si="19"/>
        <v>9.75</v>
      </c>
    </row>
    <row r="1231" spans="1:9" x14ac:dyDescent="0.25">
      <c r="A1231">
        <v>1917</v>
      </c>
      <c r="B1231" s="1">
        <v>45435</v>
      </c>
      <c r="C1231">
        <v>168</v>
      </c>
      <c r="D1231">
        <v>29</v>
      </c>
      <c r="E1231">
        <v>4</v>
      </c>
      <c r="F1231">
        <v>1</v>
      </c>
      <c r="G1231" t="s">
        <v>1044</v>
      </c>
      <c r="H1231">
        <f>_xlfn.XLOOKUP(D1231, productos!$A$2:$A$150, productos!$D$2:$D$150, "No Encontrado", 0)</f>
        <v>11.54</v>
      </c>
      <c r="I1231">
        <f t="shared" si="19"/>
        <v>46.16</v>
      </c>
    </row>
    <row r="1232" spans="1:9" x14ac:dyDescent="0.25">
      <c r="A1232">
        <v>2443</v>
      </c>
      <c r="B1232" s="1">
        <v>45435</v>
      </c>
      <c r="C1232">
        <v>74</v>
      </c>
      <c r="D1232">
        <v>13</v>
      </c>
      <c r="E1232">
        <v>6</v>
      </c>
      <c r="F1232">
        <v>4</v>
      </c>
      <c r="G1232" t="s">
        <v>1044</v>
      </c>
      <c r="H1232">
        <f>_xlfn.XLOOKUP(D1232, productos!$A$2:$A$150, productos!$D$2:$D$150, "No Encontrado", 0)</f>
        <v>12.56</v>
      </c>
      <c r="I1232">
        <f t="shared" si="19"/>
        <v>75.36</v>
      </c>
    </row>
    <row r="1233" spans="1:9" x14ac:dyDescent="0.25">
      <c r="A1233">
        <v>2841</v>
      </c>
      <c r="B1233" s="1">
        <v>45435</v>
      </c>
      <c r="C1233">
        <v>303</v>
      </c>
      <c r="D1233">
        <v>15</v>
      </c>
      <c r="E1233">
        <v>6</v>
      </c>
      <c r="F1233">
        <v>5</v>
      </c>
      <c r="G1233" t="s">
        <v>1044</v>
      </c>
      <c r="H1233">
        <f>_xlfn.XLOOKUP(D1233, productos!$A$2:$A$150, productos!$D$2:$D$150, "No Encontrado", 0)</f>
        <v>3.51</v>
      </c>
      <c r="I1233">
        <f t="shared" si="19"/>
        <v>21.06</v>
      </c>
    </row>
    <row r="1234" spans="1:9" x14ac:dyDescent="0.25">
      <c r="A1234">
        <v>397</v>
      </c>
      <c r="B1234" s="1">
        <v>45436</v>
      </c>
      <c r="C1234">
        <v>231</v>
      </c>
      <c r="D1234">
        <v>8</v>
      </c>
      <c r="E1234">
        <v>6</v>
      </c>
      <c r="F1234">
        <v>5</v>
      </c>
      <c r="G1234" t="s">
        <v>1044</v>
      </c>
      <c r="H1234">
        <f>_xlfn.XLOOKUP(D1234, productos!$A$2:$A$150, productos!$D$2:$D$150, "No Encontrado", 0)</f>
        <v>16.21</v>
      </c>
      <c r="I1234">
        <f t="shared" si="19"/>
        <v>97.26</v>
      </c>
    </row>
    <row r="1235" spans="1:9" x14ac:dyDescent="0.25">
      <c r="A1235">
        <v>612</v>
      </c>
      <c r="B1235" s="1">
        <v>45436</v>
      </c>
      <c r="C1235">
        <v>307</v>
      </c>
      <c r="D1235">
        <v>28</v>
      </c>
      <c r="E1235">
        <v>4</v>
      </c>
      <c r="F1235">
        <v>5</v>
      </c>
      <c r="G1235" t="s">
        <v>1044</v>
      </c>
      <c r="H1235">
        <f>_xlfn.XLOOKUP(D1235, productos!$A$2:$A$150, productos!$D$2:$D$150, "No Encontrado", 0)</f>
        <v>9.4499999999999993</v>
      </c>
      <c r="I1235">
        <f t="shared" si="19"/>
        <v>37.799999999999997</v>
      </c>
    </row>
    <row r="1236" spans="1:9" x14ac:dyDescent="0.25">
      <c r="A1236">
        <v>935</v>
      </c>
      <c r="B1236" s="1">
        <v>45436</v>
      </c>
      <c r="C1236">
        <v>93</v>
      </c>
      <c r="D1236">
        <v>9</v>
      </c>
      <c r="E1236">
        <v>4</v>
      </c>
      <c r="F1236">
        <v>1</v>
      </c>
      <c r="G1236" t="s">
        <v>1044</v>
      </c>
      <c r="H1236">
        <f>_xlfn.XLOOKUP(D1236, productos!$A$2:$A$150, productos!$D$2:$D$150, "No Encontrado", 0)</f>
        <v>18.559999999999999</v>
      </c>
      <c r="I1236">
        <f t="shared" si="19"/>
        <v>74.239999999999995</v>
      </c>
    </row>
    <row r="1237" spans="1:9" x14ac:dyDescent="0.25">
      <c r="A1237">
        <v>1350</v>
      </c>
      <c r="B1237" s="1">
        <v>45436</v>
      </c>
      <c r="C1237">
        <v>248</v>
      </c>
      <c r="D1237">
        <v>26</v>
      </c>
      <c r="E1237">
        <v>5</v>
      </c>
      <c r="F1237">
        <v>3</v>
      </c>
      <c r="G1237" t="s">
        <v>1044</v>
      </c>
      <c r="H1237">
        <f>_xlfn.XLOOKUP(D1237, productos!$A$2:$A$150, productos!$D$2:$D$150, "No Encontrado", 0)</f>
        <v>9.5399999999999991</v>
      </c>
      <c r="I1237">
        <f t="shared" si="19"/>
        <v>47.699999999999996</v>
      </c>
    </row>
    <row r="1238" spans="1:9" x14ac:dyDescent="0.25">
      <c r="A1238">
        <v>1437</v>
      </c>
      <c r="B1238" s="1">
        <v>45436</v>
      </c>
      <c r="C1238">
        <v>197</v>
      </c>
      <c r="D1238">
        <v>19</v>
      </c>
      <c r="E1238">
        <v>3</v>
      </c>
      <c r="F1238">
        <v>4</v>
      </c>
      <c r="G1238" t="s">
        <v>1044</v>
      </c>
      <c r="H1238">
        <f>_xlfn.XLOOKUP(D1238, productos!$A$2:$A$150, productos!$D$2:$D$150, "No Encontrado", 0)</f>
        <v>6.54</v>
      </c>
      <c r="I1238">
        <f t="shared" si="19"/>
        <v>19.62</v>
      </c>
    </row>
    <row r="1239" spans="1:9" x14ac:dyDescent="0.25">
      <c r="A1239">
        <v>1513</v>
      </c>
      <c r="B1239" s="1">
        <v>45436</v>
      </c>
      <c r="C1239">
        <v>119</v>
      </c>
      <c r="D1239">
        <v>36</v>
      </c>
      <c r="E1239">
        <v>3</v>
      </c>
      <c r="F1239">
        <v>4</v>
      </c>
      <c r="G1239" t="s">
        <v>1045</v>
      </c>
      <c r="H1239">
        <f>_xlfn.XLOOKUP(D1239, productos!$A$2:$A$150, productos!$D$2:$D$150, "No Encontrado", 0)</f>
        <v>3.25</v>
      </c>
      <c r="I1239">
        <f t="shared" si="19"/>
        <v>9.75</v>
      </c>
    </row>
    <row r="1240" spans="1:9" x14ac:dyDescent="0.25">
      <c r="A1240">
        <v>2384</v>
      </c>
      <c r="B1240" s="1">
        <v>45436</v>
      </c>
      <c r="C1240">
        <v>238</v>
      </c>
      <c r="D1240">
        <v>16</v>
      </c>
      <c r="E1240">
        <v>5</v>
      </c>
      <c r="F1240">
        <v>1</v>
      </c>
      <c r="G1240" t="s">
        <v>1044</v>
      </c>
      <c r="H1240">
        <f>_xlfn.XLOOKUP(D1240, productos!$A$2:$A$150, productos!$D$2:$D$150, "No Encontrado", 0)</f>
        <v>15.23</v>
      </c>
      <c r="I1240">
        <f t="shared" si="19"/>
        <v>76.150000000000006</v>
      </c>
    </row>
    <row r="1241" spans="1:9" x14ac:dyDescent="0.25">
      <c r="A1241">
        <v>2448</v>
      </c>
      <c r="B1241" s="1">
        <v>45436</v>
      </c>
      <c r="C1241">
        <v>242</v>
      </c>
      <c r="D1241">
        <v>37</v>
      </c>
      <c r="E1241">
        <v>5</v>
      </c>
      <c r="F1241">
        <v>1</v>
      </c>
      <c r="G1241" t="s">
        <v>1045</v>
      </c>
      <c r="H1241">
        <f>_xlfn.XLOOKUP(D1241, productos!$A$2:$A$150, productos!$D$2:$D$150, "No Encontrado", 0)</f>
        <v>3.65</v>
      </c>
      <c r="I1241">
        <f t="shared" si="19"/>
        <v>18.25</v>
      </c>
    </row>
    <row r="1242" spans="1:9" x14ac:dyDescent="0.25">
      <c r="A1242">
        <v>573</v>
      </c>
      <c r="B1242" s="1">
        <v>45437</v>
      </c>
      <c r="C1242">
        <v>264</v>
      </c>
      <c r="D1242">
        <v>10</v>
      </c>
      <c r="E1242">
        <v>6</v>
      </c>
      <c r="F1242">
        <v>5</v>
      </c>
      <c r="G1242" t="s">
        <v>1045</v>
      </c>
      <c r="H1242">
        <f>_xlfn.XLOOKUP(D1242, productos!$A$2:$A$150, productos!$D$2:$D$150, "No Encontrado", 0)</f>
        <v>14.25</v>
      </c>
      <c r="I1242">
        <f t="shared" si="19"/>
        <v>85.5</v>
      </c>
    </row>
    <row r="1243" spans="1:9" x14ac:dyDescent="0.25">
      <c r="A1243">
        <v>956</v>
      </c>
      <c r="B1243" s="1">
        <v>45437</v>
      </c>
      <c r="C1243">
        <v>139</v>
      </c>
      <c r="D1243">
        <v>14</v>
      </c>
      <c r="E1243">
        <v>2</v>
      </c>
      <c r="F1243">
        <v>5</v>
      </c>
      <c r="G1243" t="s">
        <v>1045</v>
      </c>
      <c r="H1243">
        <f>_xlfn.XLOOKUP(D1243, productos!$A$2:$A$150, productos!$D$2:$D$150, "No Encontrado", 0)</f>
        <v>12.36</v>
      </c>
      <c r="I1243">
        <f t="shared" si="19"/>
        <v>24.72</v>
      </c>
    </row>
    <row r="1244" spans="1:9" x14ac:dyDescent="0.25">
      <c r="A1244">
        <v>1141</v>
      </c>
      <c r="B1244" s="1">
        <v>45437</v>
      </c>
      <c r="C1244">
        <v>56</v>
      </c>
      <c r="D1244">
        <v>22</v>
      </c>
      <c r="E1244">
        <v>5</v>
      </c>
      <c r="F1244">
        <v>4</v>
      </c>
      <c r="G1244" t="s">
        <v>1045</v>
      </c>
      <c r="H1244">
        <f>_xlfn.XLOOKUP(D1244, productos!$A$2:$A$150, productos!$D$2:$D$150, "No Encontrado", 0)</f>
        <v>4.21</v>
      </c>
      <c r="I1244">
        <f t="shared" si="19"/>
        <v>21.05</v>
      </c>
    </row>
    <row r="1245" spans="1:9" x14ac:dyDescent="0.25">
      <c r="A1245">
        <v>1615</v>
      </c>
      <c r="B1245" s="1">
        <v>45437</v>
      </c>
      <c r="C1245">
        <v>264</v>
      </c>
      <c r="D1245">
        <v>25</v>
      </c>
      <c r="E1245">
        <v>4</v>
      </c>
      <c r="F1245">
        <v>1</v>
      </c>
      <c r="G1245" t="s">
        <v>1044</v>
      </c>
      <c r="H1245">
        <f>_xlfn.XLOOKUP(D1245, productos!$A$2:$A$150, productos!$D$2:$D$150, "No Encontrado", 0)</f>
        <v>15.45</v>
      </c>
      <c r="I1245">
        <f t="shared" si="19"/>
        <v>61.8</v>
      </c>
    </row>
    <row r="1246" spans="1:9" x14ac:dyDescent="0.25">
      <c r="A1246">
        <v>2717</v>
      </c>
      <c r="B1246" s="1">
        <v>45437</v>
      </c>
      <c r="C1246">
        <v>16</v>
      </c>
      <c r="D1246">
        <v>7</v>
      </c>
      <c r="E1246">
        <v>6</v>
      </c>
      <c r="F1246">
        <v>4</v>
      </c>
      <c r="G1246" t="s">
        <v>1044</v>
      </c>
      <c r="H1246">
        <f>_xlfn.XLOOKUP(D1246, productos!$A$2:$A$150, productos!$D$2:$D$150, "No Encontrado", 0)</f>
        <v>11.25</v>
      </c>
      <c r="I1246">
        <f t="shared" si="19"/>
        <v>67.5</v>
      </c>
    </row>
    <row r="1247" spans="1:9" x14ac:dyDescent="0.25">
      <c r="A1247">
        <v>2803</v>
      </c>
      <c r="B1247" s="1">
        <v>45437</v>
      </c>
      <c r="C1247">
        <v>283</v>
      </c>
      <c r="D1247">
        <v>11</v>
      </c>
      <c r="E1247">
        <v>6</v>
      </c>
      <c r="F1247">
        <v>5</v>
      </c>
      <c r="G1247" t="s">
        <v>1045</v>
      </c>
      <c r="H1247">
        <f>_xlfn.XLOOKUP(D1247, productos!$A$2:$A$150, productos!$D$2:$D$150, "No Encontrado", 0)</f>
        <v>11.23</v>
      </c>
      <c r="I1247">
        <f t="shared" si="19"/>
        <v>67.38</v>
      </c>
    </row>
    <row r="1248" spans="1:9" x14ac:dyDescent="0.25">
      <c r="A1248">
        <v>2918</v>
      </c>
      <c r="B1248" s="1">
        <v>45437</v>
      </c>
      <c r="C1248">
        <v>311</v>
      </c>
      <c r="D1248">
        <v>34</v>
      </c>
      <c r="E1248">
        <v>6</v>
      </c>
      <c r="F1248">
        <v>3</v>
      </c>
      <c r="G1248" t="s">
        <v>1044</v>
      </c>
      <c r="H1248">
        <f>_xlfn.XLOOKUP(D1248, productos!$A$2:$A$150, productos!$D$2:$D$150, "No Encontrado", 0)</f>
        <v>5.45</v>
      </c>
      <c r="I1248">
        <f t="shared" si="19"/>
        <v>32.700000000000003</v>
      </c>
    </row>
    <row r="1249" spans="1:9" x14ac:dyDescent="0.25">
      <c r="A1249">
        <v>932</v>
      </c>
      <c r="B1249" s="1">
        <v>45438</v>
      </c>
      <c r="C1249">
        <v>213</v>
      </c>
      <c r="D1249">
        <v>4</v>
      </c>
      <c r="E1249">
        <v>6</v>
      </c>
      <c r="F1249">
        <v>1</v>
      </c>
      <c r="G1249" t="s">
        <v>1044</v>
      </c>
      <c r="H1249">
        <f>_xlfn.XLOOKUP(D1249, productos!$A$2:$A$150, productos!$D$2:$D$150, "No Encontrado", 0)</f>
        <v>19.23</v>
      </c>
      <c r="I1249">
        <f t="shared" si="19"/>
        <v>115.38</v>
      </c>
    </row>
    <row r="1250" spans="1:9" x14ac:dyDescent="0.25">
      <c r="A1250">
        <v>1030</v>
      </c>
      <c r="B1250" s="1">
        <v>45438</v>
      </c>
      <c r="C1250">
        <v>44</v>
      </c>
      <c r="D1250">
        <v>32</v>
      </c>
      <c r="E1250">
        <v>4</v>
      </c>
      <c r="F1250">
        <v>4</v>
      </c>
      <c r="G1250" t="s">
        <v>1044</v>
      </c>
      <c r="H1250">
        <f>_xlfn.XLOOKUP(D1250, productos!$A$2:$A$150, productos!$D$2:$D$150, "No Encontrado", 0)</f>
        <v>6.25</v>
      </c>
      <c r="I1250">
        <f t="shared" si="19"/>
        <v>25</v>
      </c>
    </row>
    <row r="1251" spans="1:9" x14ac:dyDescent="0.25">
      <c r="A1251">
        <v>1232</v>
      </c>
      <c r="B1251" s="1">
        <v>45438</v>
      </c>
      <c r="C1251">
        <v>241</v>
      </c>
      <c r="D1251">
        <v>5</v>
      </c>
      <c r="E1251">
        <v>3</v>
      </c>
      <c r="F1251">
        <v>3</v>
      </c>
      <c r="G1251" t="s">
        <v>1046</v>
      </c>
      <c r="H1251">
        <f>_xlfn.XLOOKUP(D1251, productos!$A$2:$A$150, productos!$D$2:$D$150, "No Encontrado", 0)</f>
        <v>5.65</v>
      </c>
      <c r="I1251">
        <f t="shared" si="19"/>
        <v>16.950000000000003</v>
      </c>
    </row>
    <row r="1252" spans="1:9" x14ac:dyDescent="0.25">
      <c r="A1252">
        <v>1349</v>
      </c>
      <c r="B1252" s="1">
        <v>45438</v>
      </c>
      <c r="C1252">
        <v>264</v>
      </c>
      <c r="D1252">
        <v>22</v>
      </c>
      <c r="E1252">
        <v>1</v>
      </c>
      <c r="F1252">
        <v>5</v>
      </c>
      <c r="G1252" t="s">
        <v>1044</v>
      </c>
      <c r="H1252">
        <f>_xlfn.XLOOKUP(D1252, productos!$A$2:$A$150, productos!$D$2:$D$150, "No Encontrado", 0)</f>
        <v>4.21</v>
      </c>
      <c r="I1252">
        <f t="shared" si="19"/>
        <v>4.21</v>
      </c>
    </row>
    <row r="1253" spans="1:9" x14ac:dyDescent="0.25">
      <c r="A1253">
        <v>1581</v>
      </c>
      <c r="B1253" s="1">
        <v>45438</v>
      </c>
      <c r="C1253">
        <v>210</v>
      </c>
      <c r="D1253">
        <v>5</v>
      </c>
      <c r="E1253">
        <v>6</v>
      </c>
      <c r="F1253">
        <v>4</v>
      </c>
      <c r="G1253" t="s">
        <v>1045</v>
      </c>
      <c r="H1253">
        <f>_xlfn.XLOOKUP(D1253, productos!$A$2:$A$150, productos!$D$2:$D$150, "No Encontrado", 0)</f>
        <v>5.65</v>
      </c>
      <c r="I1253">
        <f t="shared" si="19"/>
        <v>33.900000000000006</v>
      </c>
    </row>
    <row r="1254" spans="1:9" x14ac:dyDescent="0.25">
      <c r="A1254">
        <v>2086</v>
      </c>
      <c r="B1254" s="1">
        <v>45438</v>
      </c>
      <c r="C1254">
        <v>68</v>
      </c>
      <c r="D1254">
        <v>5</v>
      </c>
      <c r="E1254">
        <v>3</v>
      </c>
      <c r="F1254">
        <v>4</v>
      </c>
      <c r="G1254" t="s">
        <v>1044</v>
      </c>
      <c r="H1254">
        <f>_xlfn.XLOOKUP(D1254, productos!$A$2:$A$150, productos!$D$2:$D$150, "No Encontrado", 0)</f>
        <v>5.65</v>
      </c>
      <c r="I1254">
        <f t="shared" si="19"/>
        <v>16.950000000000003</v>
      </c>
    </row>
    <row r="1255" spans="1:9" x14ac:dyDescent="0.25">
      <c r="A1255">
        <v>2441</v>
      </c>
      <c r="B1255" s="1">
        <v>45438</v>
      </c>
      <c r="C1255">
        <v>205</v>
      </c>
      <c r="D1255">
        <v>23</v>
      </c>
      <c r="E1255">
        <v>5</v>
      </c>
      <c r="F1255">
        <v>4</v>
      </c>
      <c r="G1255" t="s">
        <v>1045</v>
      </c>
      <c r="H1255">
        <f>_xlfn.XLOOKUP(D1255, productos!$A$2:$A$150, productos!$D$2:$D$150, "No Encontrado", 0)</f>
        <v>8.23</v>
      </c>
      <c r="I1255">
        <f t="shared" si="19"/>
        <v>41.150000000000006</v>
      </c>
    </row>
    <row r="1256" spans="1:9" x14ac:dyDescent="0.25">
      <c r="A1256">
        <v>2991</v>
      </c>
      <c r="B1256" s="1">
        <v>45438</v>
      </c>
      <c r="C1256">
        <v>266</v>
      </c>
      <c r="D1256">
        <v>38</v>
      </c>
      <c r="E1256">
        <v>2</v>
      </c>
      <c r="F1256">
        <v>3</v>
      </c>
      <c r="G1256" t="s">
        <v>1044</v>
      </c>
      <c r="H1256">
        <f>_xlfn.XLOOKUP(D1256, productos!$A$2:$A$150, productos!$D$2:$D$150, "No Encontrado", 0)</f>
        <v>6.21</v>
      </c>
      <c r="I1256">
        <f t="shared" si="19"/>
        <v>12.42</v>
      </c>
    </row>
    <row r="1257" spans="1:9" x14ac:dyDescent="0.25">
      <c r="A1257">
        <v>485</v>
      </c>
      <c r="B1257" s="1">
        <v>45439</v>
      </c>
      <c r="C1257">
        <v>136</v>
      </c>
      <c r="D1257">
        <v>20</v>
      </c>
      <c r="E1257">
        <v>1</v>
      </c>
      <c r="F1257">
        <v>4</v>
      </c>
      <c r="G1257" t="s">
        <v>1044</v>
      </c>
      <c r="H1257">
        <f>_xlfn.XLOOKUP(D1257, productos!$A$2:$A$150, productos!$D$2:$D$150, "No Encontrado", 0)</f>
        <v>4.25</v>
      </c>
      <c r="I1257">
        <f t="shared" si="19"/>
        <v>4.25</v>
      </c>
    </row>
    <row r="1258" spans="1:9" x14ac:dyDescent="0.25">
      <c r="A1258">
        <v>881</v>
      </c>
      <c r="B1258" s="1">
        <v>45439</v>
      </c>
      <c r="C1258">
        <v>39</v>
      </c>
      <c r="D1258">
        <v>16</v>
      </c>
      <c r="E1258">
        <v>1</v>
      </c>
      <c r="F1258">
        <v>4</v>
      </c>
      <c r="G1258" t="s">
        <v>1044</v>
      </c>
      <c r="H1258">
        <f>_xlfn.XLOOKUP(D1258, productos!$A$2:$A$150, productos!$D$2:$D$150, "No Encontrado", 0)</f>
        <v>15.23</v>
      </c>
      <c r="I1258">
        <f t="shared" si="19"/>
        <v>15.23</v>
      </c>
    </row>
    <row r="1259" spans="1:9" x14ac:dyDescent="0.25">
      <c r="A1259">
        <v>1441</v>
      </c>
      <c r="B1259" s="1">
        <v>45439</v>
      </c>
      <c r="C1259">
        <v>145</v>
      </c>
      <c r="D1259">
        <v>19</v>
      </c>
      <c r="E1259">
        <v>2</v>
      </c>
      <c r="F1259">
        <v>1</v>
      </c>
      <c r="G1259" t="s">
        <v>1044</v>
      </c>
      <c r="H1259">
        <f>_xlfn.XLOOKUP(D1259, productos!$A$2:$A$150, productos!$D$2:$D$150, "No Encontrado", 0)</f>
        <v>6.54</v>
      </c>
      <c r="I1259">
        <f t="shared" si="19"/>
        <v>13.08</v>
      </c>
    </row>
    <row r="1260" spans="1:9" x14ac:dyDescent="0.25">
      <c r="A1260">
        <v>1481</v>
      </c>
      <c r="B1260" s="1">
        <v>45439</v>
      </c>
      <c r="C1260">
        <v>148</v>
      </c>
      <c r="D1260">
        <v>35</v>
      </c>
      <c r="E1260">
        <v>3</v>
      </c>
      <c r="F1260">
        <v>3</v>
      </c>
      <c r="G1260" t="s">
        <v>1045</v>
      </c>
      <c r="H1260">
        <f>_xlfn.XLOOKUP(D1260, productos!$A$2:$A$150, productos!$D$2:$D$150, "No Encontrado", 0)</f>
        <v>4.25</v>
      </c>
      <c r="I1260">
        <f t="shared" si="19"/>
        <v>12.75</v>
      </c>
    </row>
    <row r="1261" spans="1:9" x14ac:dyDescent="0.25">
      <c r="A1261">
        <v>1661</v>
      </c>
      <c r="B1261" s="1">
        <v>45439</v>
      </c>
      <c r="C1261">
        <v>146</v>
      </c>
      <c r="D1261">
        <v>8</v>
      </c>
      <c r="E1261">
        <v>3</v>
      </c>
      <c r="F1261">
        <v>1</v>
      </c>
      <c r="G1261" t="s">
        <v>1044</v>
      </c>
      <c r="H1261">
        <f>_xlfn.XLOOKUP(D1261, productos!$A$2:$A$150, productos!$D$2:$D$150, "No Encontrado", 0)</f>
        <v>16.21</v>
      </c>
      <c r="I1261">
        <f t="shared" si="19"/>
        <v>48.63</v>
      </c>
    </row>
    <row r="1262" spans="1:9" x14ac:dyDescent="0.25">
      <c r="A1262">
        <v>1752</v>
      </c>
      <c r="B1262" s="1">
        <v>45439</v>
      </c>
      <c r="C1262">
        <v>220</v>
      </c>
      <c r="D1262">
        <v>31</v>
      </c>
      <c r="E1262">
        <v>2</v>
      </c>
      <c r="F1262">
        <v>1</v>
      </c>
      <c r="G1262" t="s">
        <v>1044</v>
      </c>
      <c r="H1262">
        <f>_xlfn.XLOOKUP(D1262, productos!$A$2:$A$150, productos!$D$2:$D$150, "No Encontrado", 0)</f>
        <v>5.24</v>
      </c>
      <c r="I1262">
        <f t="shared" si="19"/>
        <v>10.48</v>
      </c>
    </row>
    <row r="1263" spans="1:9" x14ac:dyDescent="0.25">
      <c r="A1263">
        <v>2093</v>
      </c>
      <c r="B1263" s="1">
        <v>45439</v>
      </c>
      <c r="C1263">
        <v>90</v>
      </c>
      <c r="D1263">
        <v>2</v>
      </c>
      <c r="E1263">
        <v>1</v>
      </c>
      <c r="F1263">
        <v>4</v>
      </c>
      <c r="G1263" t="s">
        <v>1044</v>
      </c>
      <c r="H1263">
        <f>_xlfn.XLOOKUP(D1263, productos!$A$2:$A$150, productos!$D$2:$D$150, "No Encontrado", 0)</f>
        <v>5.21</v>
      </c>
      <c r="I1263">
        <f t="shared" si="19"/>
        <v>5.21</v>
      </c>
    </row>
    <row r="1264" spans="1:9" x14ac:dyDescent="0.25">
      <c r="A1264">
        <v>2123</v>
      </c>
      <c r="B1264" s="1">
        <v>45439</v>
      </c>
      <c r="C1264">
        <v>235</v>
      </c>
      <c r="D1264">
        <v>17</v>
      </c>
      <c r="E1264">
        <v>3</v>
      </c>
      <c r="F1264">
        <v>5</v>
      </c>
      <c r="G1264" t="s">
        <v>1044</v>
      </c>
      <c r="H1264">
        <f>_xlfn.XLOOKUP(D1264, productos!$A$2:$A$150, productos!$D$2:$D$150, "No Encontrado", 0)</f>
        <v>6.54</v>
      </c>
      <c r="I1264">
        <f t="shared" si="19"/>
        <v>19.62</v>
      </c>
    </row>
    <row r="1265" spans="1:9" x14ac:dyDescent="0.25">
      <c r="A1265">
        <v>2599</v>
      </c>
      <c r="B1265" s="1">
        <v>45439</v>
      </c>
      <c r="C1265">
        <v>176</v>
      </c>
      <c r="D1265">
        <v>30</v>
      </c>
      <c r="E1265">
        <v>2</v>
      </c>
      <c r="F1265">
        <v>4</v>
      </c>
      <c r="G1265" t="s">
        <v>1044</v>
      </c>
      <c r="H1265">
        <f>_xlfn.XLOOKUP(D1265, productos!$A$2:$A$150, productos!$D$2:$D$150, "No Encontrado", 0)</f>
        <v>13.54</v>
      </c>
      <c r="I1265">
        <f t="shared" si="19"/>
        <v>27.08</v>
      </c>
    </row>
    <row r="1266" spans="1:9" x14ac:dyDescent="0.25">
      <c r="A1266">
        <v>2940</v>
      </c>
      <c r="B1266" s="1">
        <v>45439</v>
      </c>
      <c r="C1266">
        <v>56</v>
      </c>
      <c r="D1266">
        <v>9</v>
      </c>
      <c r="E1266">
        <v>3</v>
      </c>
      <c r="F1266">
        <v>5</v>
      </c>
      <c r="G1266" t="s">
        <v>1045</v>
      </c>
      <c r="H1266">
        <f>_xlfn.XLOOKUP(D1266, productos!$A$2:$A$150, productos!$D$2:$D$150, "No Encontrado", 0)</f>
        <v>18.559999999999999</v>
      </c>
      <c r="I1266">
        <f t="shared" si="19"/>
        <v>55.679999999999993</v>
      </c>
    </row>
    <row r="1267" spans="1:9" x14ac:dyDescent="0.25">
      <c r="A1267">
        <v>895</v>
      </c>
      <c r="B1267" s="1">
        <v>45440</v>
      </c>
      <c r="C1267">
        <v>194</v>
      </c>
      <c r="D1267">
        <v>12</v>
      </c>
      <c r="E1267">
        <v>4</v>
      </c>
      <c r="F1267">
        <v>4</v>
      </c>
      <c r="G1267" t="s">
        <v>1044</v>
      </c>
      <c r="H1267">
        <f>_xlfn.XLOOKUP(D1267, productos!$A$2:$A$150, productos!$D$2:$D$150, "No Encontrado", 0)</f>
        <v>8.1199999999999992</v>
      </c>
      <c r="I1267">
        <f t="shared" si="19"/>
        <v>32.479999999999997</v>
      </c>
    </row>
    <row r="1268" spans="1:9" x14ac:dyDescent="0.25">
      <c r="A1268">
        <v>1066</v>
      </c>
      <c r="B1268" s="1">
        <v>45440</v>
      </c>
      <c r="C1268">
        <v>182</v>
      </c>
      <c r="D1268">
        <v>29</v>
      </c>
      <c r="E1268">
        <v>5</v>
      </c>
      <c r="F1268">
        <v>1</v>
      </c>
      <c r="G1268" t="s">
        <v>1044</v>
      </c>
      <c r="H1268">
        <f>_xlfn.XLOOKUP(D1268, productos!$A$2:$A$150, productos!$D$2:$D$150, "No Encontrado", 0)</f>
        <v>11.54</v>
      </c>
      <c r="I1268">
        <f t="shared" si="19"/>
        <v>57.699999999999996</v>
      </c>
    </row>
    <row r="1269" spans="1:9" x14ac:dyDescent="0.25">
      <c r="A1269">
        <v>1421</v>
      </c>
      <c r="B1269" s="1">
        <v>45440</v>
      </c>
      <c r="C1269">
        <v>89</v>
      </c>
      <c r="D1269">
        <v>17</v>
      </c>
      <c r="E1269">
        <v>3</v>
      </c>
      <c r="F1269">
        <v>3</v>
      </c>
      <c r="G1269" t="s">
        <v>1045</v>
      </c>
      <c r="H1269">
        <f>_xlfn.XLOOKUP(D1269, productos!$A$2:$A$150, productos!$D$2:$D$150, "No Encontrado", 0)</f>
        <v>6.54</v>
      </c>
      <c r="I1269">
        <f t="shared" si="19"/>
        <v>19.62</v>
      </c>
    </row>
    <row r="1270" spans="1:9" x14ac:dyDescent="0.25">
      <c r="A1270">
        <v>1576</v>
      </c>
      <c r="B1270" s="1">
        <v>45440</v>
      </c>
      <c r="C1270">
        <v>127</v>
      </c>
      <c r="D1270">
        <v>25</v>
      </c>
      <c r="E1270">
        <v>5</v>
      </c>
      <c r="F1270">
        <v>1</v>
      </c>
      <c r="G1270" t="s">
        <v>1044</v>
      </c>
      <c r="H1270">
        <f>_xlfn.XLOOKUP(D1270, productos!$A$2:$A$150, productos!$D$2:$D$150, "No Encontrado", 0)</f>
        <v>15.45</v>
      </c>
      <c r="I1270">
        <f t="shared" si="19"/>
        <v>77.25</v>
      </c>
    </row>
    <row r="1271" spans="1:9" x14ac:dyDescent="0.25">
      <c r="A1271">
        <v>1709</v>
      </c>
      <c r="B1271" s="1">
        <v>45440</v>
      </c>
      <c r="C1271">
        <v>319</v>
      </c>
      <c r="D1271">
        <v>3</v>
      </c>
      <c r="E1271">
        <v>2</v>
      </c>
      <c r="F1271">
        <v>4</v>
      </c>
      <c r="G1271" t="s">
        <v>1045</v>
      </c>
      <c r="H1271">
        <f>_xlfn.XLOOKUP(D1271, productos!$A$2:$A$150, productos!$D$2:$D$150, "No Encontrado", 0)</f>
        <v>17.23</v>
      </c>
      <c r="I1271">
        <f t="shared" si="19"/>
        <v>34.46</v>
      </c>
    </row>
    <row r="1272" spans="1:9" x14ac:dyDescent="0.25">
      <c r="A1272">
        <v>2098</v>
      </c>
      <c r="B1272" s="1">
        <v>45440</v>
      </c>
      <c r="C1272">
        <v>108</v>
      </c>
      <c r="D1272">
        <v>35</v>
      </c>
      <c r="E1272">
        <v>4</v>
      </c>
      <c r="F1272">
        <v>4</v>
      </c>
      <c r="G1272" t="s">
        <v>1044</v>
      </c>
      <c r="H1272">
        <f>_xlfn.XLOOKUP(D1272, productos!$A$2:$A$150, productos!$D$2:$D$150, "No Encontrado", 0)</f>
        <v>4.25</v>
      </c>
      <c r="I1272">
        <f t="shared" si="19"/>
        <v>17</v>
      </c>
    </row>
    <row r="1273" spans="1:9" x14ac:dyDescent="0.25">
      <c r="A1273">
        <v>2880</v>
      </c>
      <c r="B1273" s="1">
        <v>45440</v>
      </c>
      <c r="C1273">
        <v>248</v>
      </c>
      <c r="D1273">
        <v>38</v>
      </c>
      <c r="E1273">
        <v>1</v>
      </c>
      <c r="F1273">
        <v>3</v>
      </c>
      <c r="G1273" t="s">
        <v>1044</v>
      </c>
      <c r="H1273">
        <f>_xlfn.XLOOKUP(D1273, productos!$A$2:$A$150, productos!$D$2:$D$150, "No Encontrado", 0)</f>
        <v>6.21</v>
      </c>
      <c r="I1273">
        <f t="shared" si="19"/>
        <v>6.21</v>
      </c>
    </row>
    <row r="1274" spans="1:9" x14ac:dyDescent="0.25">
      <c r="A1274">
        <v>554</v>
      </c>
      <c r="B1274" s="1">
        <v>45441</v>
      </c>
      <c r="C1274">
        <v>132</v>
      </c>
      <c r="D1274">
        <v>30</v>
      </c>
      <c r="E1274">
        <v>5</v>
      </c>
      <c r="F1274">
        <v>4</v>
      </c>
      <c r="G1274" t="s">
        <v>1044</v>
      </c>
      <c r="H1274">
        <f>_xlfn.XLOOKUP(D1274, productos!$A$2:$A$150, productos!$D$2:$D$150, "No Encontrado", 0)</f>
        <v>13.54</v>
      </c>
      <c r="I1274">
        <f t="shared" si="19"/>
        <v>67.699999999999989</v>
      </c>
    </row>
    <row r="1275" spans="1:9" x14ac:dyDescent="0.25">
      <c r="A1275">
        <v>642</v>
      </c>
      <c r="B1275" s="1">
        <v>45441</v>
      </c>
      <c r="C1275">
        <v>240</v>
      </c>
      <c r="D1275">
        <v>26</v>
      </c>
      <c r="E1275">
        <v>5</v>
      </c>
      <c r="F1275">
        <v>2</v>
      </c>
      <c r="G1275" t="s">
        <v>1044</v>
      </c>
      <c r="H1275">
        <f>_xlfn.XLOOKUP(D1275, productos!$A$2:$A$150, productos!$D$2:$D$150, "No Encontrado", 0)</f>
        <v>9.5399999999999991</v>
      </c>
      <c r="I1275">
        <f t="shared" si="19"/>
        <v>47.699999999999996</v>
      </c>
    </row>
    <row r="1276" spans="1:9" x14ac:dyDescent="0.25">
      <c r="A1276">
        <v>717</v>
      </c>
      <c r="B1276" s="1">
        <v>45441</v>
      </c>
      <c r="C1276">
        <v>304</v>
      </c>
      <c r="D1276">
        <v>38</v>
      </c>
      <c r="E1276">
        <v>5</v>
      </c>
      <c r="F1276">
        <v>4</v>
      </c>
      <c r="G1276" t="s">
        <v>1044</v>
      </c>
      <c r="H1276">
        <f>_xlfn.XLOOKUP(D1276, productos!$A$2:$A$150, productos!$D$2:$D$150, "No Encontrado", 0)</f>
        <v>6.21</v>
      </c>
      <c r="I1276">
        <f t="shared" si="19"/>
        <v>31.05</v>
      </c>
    </row>
    <row r="1277" spans="1:9" x14ac:dyDescent="0.25">
      <c r="A1277">
        <v>1837</v>
      </c>
      <c r="B1277" s="1">
        <v>45441</v>
      </c>
      <c r="C1277">
        <v>26</v>
      </c>
      <c r="D1277">
        <v>17</v>
      </c>
      <c r="E1277">
        <v>3</v>
      </c>
      <c r="F1277">
        <v>1</v>
      </c>
      <c r="G1277" t="s">
        <v>1044</v>
      </c>
      <c r="H1277">
        <f>_xlfn.XLOOKUP(D1277, productos!$A$2:$A$150, productos!$D$2:$D$150, "No Encontrado", 0)</f>
        <v>6.54</v>
      </c>
      <c r="I1277">
        <f t="shared" si="19"/>
        <v>19.62</v>
      </c>
    </row>
    <row r="1278" spans="1:9" x14ac:dyDescent="0.25">
      <c r="A1278">
        <v>1844</v>
      </c>
      <c r="B1278" s="1">
        <v>45441</v>
      </c>
      <c r="C1278">
        <v>127</v>
      </c>
      <c r="D1278">
        <v>28</v>
      </c>
      <c r="E1278">
        <v>2</v>
      </c>
      <c r="F1278">
        <v>5</v>
      </c>
      <c r="G1278" t="s">
        <v>1044</v>
      </c>
      <c r="H1278">
        <f>_xlfn.XLOOKUP(D1278, productos!$A$2:$A$150, productos!$D$2:$D$150, "No Encontrado", 0)</f>
        <v>9.4499999999999993</v>
      </c>
      <c r="I1278">
        <f t="shared" si="19"/>
        <v>18.899999999999999</v>
      </c>
    </row>
    <row r="1279" spans="1:9" x14ac:dyDescent="0.25">
      <c r="A1279">
        <v>2475</v>
      </c>
      <c r="B1279" s="1">
        <v>45441</v>
      </c>
      <c r="C1279">
        <v>7</v>
      </c>
      <c r="D1279">
        <v>26</v>
      </c>
      <c r="E1279">
        <v>6</v>
      </c>
      <c r="F1279">
        <v>1</v>
      </c>
      <c r="G1279" t="s">
        <v>1044</v>
      </c>
      <c r="H1279">
        <f>_xlfn.XLOOKUP(D1279, productos!$A$2:$A$150, productos!$D$2:$D$150, "No Encontrado", 0)</f>
        <v>9.5399999999999991</v>
      </c>
      <c r="I1279">
        <f t="shared" si="19"/>
        <v>57.239999999999995</v>
      </c>
    </row>
    <row r="1280" spans="1:9" x14ac:dyDescent="0.25">
      <c r="A1280">
        <v>2761</v>
      </c>
      <c r="B1280" s="1">
        <v>45441</v>
      </c>
      <c r="C1280">
        <v>87</v>
      </c>
      <c r="D1280">
        <v>26</v>
      </c>
      <c r="E1280">
        <v>2</v>
      </c>
      <c r="F1280">
        <v>3</v>
      </c>
      <c r="G1280" t="s">
        <v>1044</v>
      </c>
      <c r="H1280">
        <f>_xlfn.XLOOKUP(D1280, productos!$A$2:$A$150, productos!$D$2:$D$150, "No Encontrado", 0)</f>
        <v>9.5399999999999991</v>
      </c>
      <c r="I1280">
        <f t="shared" si="19"/>
        <v>19.079999999999998</v>
      </c>
    </row>
    <row r="1281" spans="1:9" x14ac:dyDescent="0.25">
      <c r="A1281">
        <v>2831</v>
      </c>
      <c r="B1281" s="1">
        <v>45441</v>
      </c>
      <c r="C1281">
        <v>180</v>
      </c>
      <c r="D1281">
        <v>15</v>
      </c>
      <c r="E1281">
        <v>5</v>
      </c>
      <c r="F1281">
        <v>4</v>
      </c>
      <c r="G1281" t="s">
        <v>1045</v>
      </c>
      <c r="H1281">
        <f>_xlfn.XLOOKUP(D1281, productos!$A$2:$A$150, productos!$D$2:$D$150, "No Encontrado", 0)</f>
        <v>3.51</v>
      </c>
      <c r="I1281">
        <f t="shared" si="19"/>
        <v>17.549999999999997</v>
      </c>
    </row>
    <row r="1282" spans="1:9" x14ac:dyDescent="0.25">
      <c r="A1282">
        <v>818</v>
      </c>
      <c r="B1282" s="1">
        <v>45442</v>
      </c>
      <c r="C1282">
        <v>159</v>
      </c>
      <c r="D1282">
        <v>10</v>
      </c>
      <c r="E1282">
        <v>2</v>
      </c>
      <c r="F1282">
        <v>1</v>
      </c>
      <c r="G1282" t="s">
        <v>1044</v>
      </c>
      <c r="H1282">
        <f>_xlfn.XLOOKUP(D1282, productos!$A$2:$A$150, productos!$D$2:$D$150, "No Encontrado", 0)</f>
        <v>14.25</v>
      </c>
      <c r="I1282">
        <f t="shared" si="19"/>
        <v>28.5</v>
      </c>
    </row>
    <row r="1283" spans="1:9" x14ac:dyDescent="0.25">
      <c r="A1283">
        <v>1598</v>
      </c>
      <c r="B1283" s="1">
        <v>45442</v>
      </c>
      <c r="C1283">
        <v>243</v>
      </c>
      <c r="D1283">
        <v>32</v>
      </c>
      <c r="E1283">
        <v>6</v>
      </c>
      <c r="F1283">
        <v>4</v>
      </c>
      <c r="G1283" t="s">
        <v>1044</v>
      </c>
      <c r="H1283">
        <f>_xlfn.XLOOKUP(D1283, productos!$A$2:$A$150, productos!$D$2:$D$150, "No Encontrado", 0)</f>
        <v>6.25</v>
      </c>
      <c r="I1283">
        <f t="shared" ref="I1283:I1346" si="20">E1283*H1283</f>
        <v>37.5</v>
      </c>
    </row>
    <row r="1284" spans="1:9" x14ac:dyDescent="0.25">
      <c r="A1284">
        <v>1822</v>
      </c>
      <c r="B1284" s="1">
        <v>45442</v>
      </c>
      <c r="C1284">
        <v>311</v>
      </c>
      <c r="D1284">
        <v>27</v>
      </c>
      <c r="E1284">
        <v>4</v>
      </c>
      <c r="F1284">
        <v>4</v>
      </c>
      <c r="G1284" t="s">
        <v>1044</v>
      </c>
      <c r="H1284">
        <f>_xlfn.XLOOKUP(D1284, productos!$A$2:$A$150, productos!$D$2:$D$150, "No Encontrado", 0)</f>
        <v>6.21</v>
      </c>
      <c r="I1284">
        <f t="shared" si="20"/>
        <v>24.84</v>
      </c>
    </row>
    <row r="1285" spans="1:9" x14ac:dyDescent="0.25">
      <c r="A1285">
        <v>1962</v>
      </c>
      <c r="B1285" s="1">
        <v>45442</v>
      </c>
      <c r="C1285">
        <v>82</v>
      </c>
      <c r="D1285">
        <v>5</v>
      </c>
      <c r="E1285">
        <v>2</v>
      </c>
      <c r="F1285">
        <v>4</v>
      </c>
      <c r="G1285" t="s">
        <v>1044</v>
      </c>
      <c r="H1285">
        <f>_xlfn.XLOOKUP(D1285, productos!$A$2:$A$150, productos!$D$2:$D$150, "No Encontrado", 0)</f>
        <v>5.65</v>
      </c>
      <c r="I1285">
        <f t="shared" si="20"/>
        <v>11.3</v>
      </c>
    </row>
    <row r="1286" spans="1:9" x14ac:dyDescent="0.25">
      <c r="A1286">
        <v>2024</v>
      </c>
      <c r="B1286" s="1">
        <v>45442</v>
      </c>
      <c r="C1286">
        <v>282</v>
      </c>
      <c r="D1286">
        <v>8</v>
      </c>
      <c r="E1286">
        <v>4</v>
      </c>
      <c r="F1286">
        <v>5</v>
      </c>
      <c r="G1286" t="s">
        <v>1044</v>
      </c>
      <c r="H1286">
        <f>_xlfn.XLOOKUP(D1286, productos!$A$2:$A$150, productos!$D$2:$D$150, "No Encontrado", 0)</f>
        <v>16.21</v>
      </c>
      <c r="I1286">
        <f t="shared" si="20"/>
        <v>64.84</v>
      </c>
    </row>
    <row r="1287" spans="1:9" x14ac:dyDescent="0.25">
      <c r="A1287">
        <v>2418</v>
      </c>
      <c r="B1287" s="1">
        <v>45442</v>
      </c>
      <c r="C1287">
        <v>308</v>
      </c>
      <c r="D1287">
        <v>27</v>
      </c>
      <c r="E1287">
        <v>4</v>
      </c>
      <c r="F1287">
        <v>3</v>
      </c>
      <c r="G1287" t="s">
        <v>1044</v>
      </c>
      <c r="H1287">
        <f>_xlfn.XLOOKUP(D1287, productos!$A$2:$A$150, productos!$D$2:$D$150, "No Encontrado", 0)</f>
        <v>6.21</v>
      </c>
      <c r="I1287">
        <f t="shared" si="20"/>
        <v>24.84</v>
      </c>
    </row>
    <row r="1288" spans="1:9" x14ac:dyDescent="0.25">
      <c r="A1288">
        <v>650</v>
      </c>
      <c r="B1288" s="1">
        <v>45443</v>
      </c>
      <c r="C1288">
        <v>242</v>
      </c>
      <c r="D1288">
        <v>9</v>
      </c>
      <c r="E1288">
        <v>3</v>
      </c>
      <c r="F1288">
        <v>1</v>
      </c>
      <c r="G1288" t="s">
        <v>1045</v>
      </c>
      <c r="H1288">
        <f>_xlfn.XLOOKUP(D1288, productos!$A$2:$A$150, productos!$D$2:$D$150, "No Encontrado", 0)</f>
        <v>18.559999999999999</v>
      </c>
      <c r="I1288">
        <f t="shared" si="20"/>
        <v>55.679999999999993</v>
      </c>
    </row>
    <row r="1289" spans="1:9" x14ac:dyDescent="0.25">
      <c r="A1289">
        <v>867</v>
      </c>
      <c r="B1289" s="1">
        <v>45443</v>
      </c>
      <c r="C1289">
        <v>77</v>
      </c>
      <c r="D1289">
        <v>12</v>
      </c>
      <c r="E1289">
        <v>2</v>
      </c>
      <c r="F1289">
        <v>1</v>
      </c>
      <c r="G1289" t="s">
        <v>1044</v>
      </c>
      <c r="H1289">
        <f>_xlfn.XLOOKUP(D1289, productos!$A$2:$A$150, productos!$D$2:$D$150, "No Encontrado", 0)</f>
        <v>8.1199999999999992</v>
      </c>
      <c r="I1289">
        <f t="shared" si="20"/>
        <v>16.239999999999998</v>
      </c>
    </row>
    <row r="1290" spans="1:9" x14ac:dyDescent="0.25">
      <c r="A1290">
        <v>1205</v>
      </c>
      <c r="B1290" s="1">
        <v>45443</v>
      </c>
      <c r="C1290">
        <v>285</v>
      </c>
      <c r="D1290">
        <v>27</v>
      </c>
      <c r="E1290">
        <v>3</v>
      </c>
      <c r="F1290">
        <v>4</v>
      </c>
      <c r="G1290" t="s">
        <v>1044</v>
      </c>
      <c r="H1290">
        <f>_xlfn.XLOOKUP(D1290, productos!$A$2:$A$150, productos!$D$2:$D$150, "No Encontrado", 0)</f>
        <v>6.21</v>
      </c>
      <c r="I1290">
        <f t="shared" si="20"/>
        <v>18.63</v>
      </c>
    </row>
    <row r="1291" spans="1:9" x14ac:dyDescent="0.25">
      <c r="A1291">
        <v>1401</v>
      </c>
      <c r="B1291" s="1">
        <v>45443</v>
      </c>
      <c r="C1291">
        <v>313</v>
      </c>
      <c r="D1291">
        <v>32</v>
      </c>
      <c r="E1291">
        <v>4</v>
      </c>
      <c r="F1291">
        <v>4</v>
      </c>
      <c r="G1291" t="s">
        <v>1045</v>
      </c>
      <c r="H1291">
        <f>_xlfn.XLOOKUP(D1291, productos!$A$2:$A$150, productos!$D$2:$D$150, "No Encontrado", 0)</f>
        <v>6.25</v>
      </c>
      <c r="I1291">
        <f t="shared" si="20"/>
        <v>25</v>
      </c>
    </row>
    <row r="1292" spans="1:9" x14ac:dyDescent="0.25">
      <c r="A1292">
        <v>1427</v>
      </c>
      <c r="B1292" s="1">
        <v>45443</v>
      </c>
      <c r="C1292">
        <v>234</v>
      </c>
      <c r="D1292">
        <v>24</v>
      </c>
      <c r="E1292">
        <v>5</v>
      </c>
      <c r="F1292">
        <v>5</v>
      </c>
      <c r="G1292" t="s">
        <v>1044</v>
      </c>
      <c r="H1292">
        <f>_xlfn.XLOOKUP(D1292, productos!$A$2:$A$150, productos!$D$2:$D$150, "No Encontrado", 0)</f>
        <v>13.54</v>
      </c>
      <c r="I1292">
        <f t="shared" si="20"/>
        <v>67.699999999999989</v>
      </c>
    </row>
    <row r="1293" spans="1:9" x14ac:dyDescent="0.25">
      <c r="A1293">
        <v>1755</v>
      </c>
      <c r="B1293" s="1">
        <v>45443</v>
      </c>
      <c r="C1293">
        <v>198</v>
      </c>
      <c r="D1293">
        <v>16</v>
      </c>
      <c r="E1293">
        <v>4</v>
      </c>
      <c r="F1293">
        <v>3</v>
      </c>
      <c r="G1293" t="s">
        <v>1044</v>
      </c>
      <c r="H1293">
        <f>_xlfn.XLOOKUP(D1293, productos!$A$2:$A$150, productos!$D$2:$D$150, "No Encontrado", 0)</f>
        <v>15.23</v>
      </c>
      <c r="I1293">
        <f t="shared" si="20"/>
        <v>60.92</v>
      </c>
    </row>
    <row r="1294" spans="1:9" x14ac:dyDescent="0.25">
      <c r="A1294">
        <v>1985</v>
      </c>
      <c r="B1294" s="1">
        <v>45443</v>
      </c>
      <c r="C1294">
        <v>84</v>
      </c>
      <c r="D1294">
        <v>34</v>
      </c>
      <c r="E1294">
        <v>5</v>
      </c>
      <c r="F1294">
        <v>1</v>
      </c>
      <c r="G1294" t="s">
        <v>1044</v>
      </c>
      <c r="H1294">
        <f>_xlfn.XLOOKUP(D1294, productos!$A$2:$A$150, productos!$D$2:$D$150, "No Encontrado", 0)</f>
        <v>5.45</v>
      </c>
      <c r="I1294">
        <f t="shared" si="20"/>
        <v>27.25</v>
      </c>
    </row>
    <row r="1295" spans="1:9" x14ac:dyDescent="0.25">
      <c r="A1295">
        <v>2315</v>
      </c>
      <c r="B1295" s="1">
        <v>45443</v>
      </c>
      <c r="C1295">
        <v>312</v>
      </c>
      <c r="D1295">
        <v>3</v>
      </c>
      <c r="E1295">
        <v>3</v>
      </c>
      <c r="F1295">
        <v>5</v>
      </c>
      <c r="G1295" t="s">
        <v>1044</v>
      </c>
      <c r="H1295">
        <f>_xlfn.XLOOKUP(D1295, productos!$A$2:$A$150, productos!$D$2:$D$150, "No Encontrado", 0)</f>
        <v>17.23</v>
      </c>
      <c r="I1295">
        <f t="shared" si="20"/>
        <v>51.69</v>
      </c>
    </row>
    <row r="1296" spans="1:9" x14ac:dyDescent="0.25">
      <c r="A1296">
        <v>2821</v>
      </c>
      <c r="B1296" s="1">
        <v>45443</v>
      </c>
      <c r="C1296">
        <v>66</v>
      </c>
      <c r="D1296">
        <v>22</v>
      </c>
      <c r="E1296">
        <v>1</v>
      </c>
      <c r="F1296">
        <v>3</v>
      </c>
      <c r="G1296" t="s">
        <v>1044</v>
      </c>
      <c r="H1296">
        <f>_xlfn.XLOOKUP(D1296, productos!$A$2:$A$150, productos!$D$2:$D$150, "No Encontrado", 0)</f>
        <v>4.21</v>
      </c>
      <c r="I1296">
        <f t="shared" si="20"/>
        <v>4.21</v>
      </c>
    </row>
    <row r="1297" spans="1:9" x14ac:dyDescent="0.25">
      <c r="A1297">
        <v>383</v>
      </c>
      <c r="B1297" s="1">
        <v>45444</v>
      </c>
      <c r="C1297">
        <v>75</v>
      </c>
      <c r="D1297">
        <v>25</v>
      </c>
      <c r="E1297">
        <v>3</v>
      </c>
      <c r="F1297">
        <v>2</v>
      </c>
      <c r="G1297" t="s">
        <v>1044</v>
      </c>
      <c r="H1297">
        <f>_xlfn.XLOOKUP(D1297, productos!$A$2:$A$150, productos!$D$2:$D$150, "No Encontrado", 0)</f>
        <v>15.45</v>
      </c>
      <c r="I1297">
        <f t="shared" si="20"/>
        <v>46.349999999999994</v>
      </c>
    </row>
    <row r="1298" spans="1:9" x14ac:dyDescent="0.25">
      <c r="A1298">
        <v>636</v>
      </c>
      <c r="B1298" s="1">
        <v>45444</v>
      </c>
      <c r="C1298">
        <v>185</v>
      </c>
      <c r="D1298">
        <v>31</v>
      </c>
      <c r="E1298">
        <v>6</v>
      </c>
      <c r="F1298">
        <v>1</v>
      </c>
      <c r="G1298" t="s">
        <v>1045</v>
      </c>
      <c r="H1298">
        <f>_xlfn.XLOOKUP(D1298, productos!$A$2:$A$150, productos!$D$2:$D$150, "No Encontrado", 0)</f>
        <v>5.24</v>
      </c>
      <c r="I1298">
        <f t="shared" si="20"/>
        <v>31.44</v>
      </c>
    </row>
    <row r="1299" spans="1:9" x14ac:dyDescent="0.25">
      <c r="A1299">
        <v>699</v>
      </c>
      <c r="B1299" s="1">
        <v>45444</v>
      </c>
      <c r="C1299">
        <v>252</v>
      </c>
      <c r="D1299">
        <v>15</v>
      </c>
      <c r="E1299">
        <v>6</v>
      </c>
      <c r="F1299">
        <v>4</v>
      </c>
      <c r="G1299" t="s">
        <v>1044</v>
      </c>
      <c r="H1299">
        <f>_xlfn.XLOOKUP(D1299, productos!$A$2:$A$150, productos!$D$2:$D$150, "No Encontrado", 0)</f>
        <v>3.51</v>
      </c>
      <c r="I1299">
        <f t="shared" si="20"/>
        <v>21.06</v>
      </c>
    </row>
    <row r="1300" spans="1:9" x14ac:dyDescent="0.25">
      <c r="A1300">
        <v>711</v>
      </c>
      <c r="B1300" s="1">
        <v>45444</v>
      </c>
      <c r="C1300">
        <v>149</v>
      </c>
      <c r="D1300">
        <v>35</v>
      </c>
      <c r="E1300">
        <v>4</v>
      </c>
      <c r="F1300">
        <v>1</v>
      </c>
      <c r="G1300" t="s">
        <v>1044</v>
      </c>
      <c r="H1300">
        <f>_xlfn.XLOOKUP(D1300, productos!$A$2:$A$150, productos!$D$2:$D$150, "No Encontrado", 0)</f>
        <v>4.25</v>
      </c>
      <c r="I1300">
        <f t="shared" si="20"/>
        <v>17</v>
      </c>
    </row>
    <row r="1301" spans="1:9" x14ac:dyDescent="0.25">
      <c r="A1301">
        <v>944</v>
      </c>
      <c r="B1301" s="1">
        <v>45444</v>
      </c>
      <c r="C1301">
        <v>51</v>
      </c>
      <c r="D1301">
        <v>27</v>
      </c>
      <c r="E1301">
        <v>1</v>
      </c>
      <c r="F1301">
        <v>5</v>
      </c>
      <c r="G1301" t="s">
        <v>1044</v>
      </c>
      <c r="H1301">
        <f>_xlfn.XLOOKUP(D1301, productos!$A$2:$A$150, productos!$D$2:$D$150, "No Encontrado", 0)</f>
        <v>6.21</v>
      </c>
      <c r="I1301">
        <f t="shared" si="20"/>
        <v>6.21</v>
      </c>
    </row>
    <row r="1302" spans="1:9" x14ac:dyDescent="0.25">
      <c r="A1302">
        <v>1054</v>
      </c>
      <c r="B1302" s="1">
        <v>45444</v>
      </c>
      <c r="C1302">
        <v>300</v>
      </c>
      <c r="D1302">
        <v>31</v>
      </c>
      <c r="E1302">
        <v>5</v>
      </c>
      <c r="F1302">
        <v>4</v>
      </c>
      <c r="G1302" t="s">
        <v>1044</v>
      </c>
      <c r="H1302">
        <f>_xlfn.XLOOKUP(D1302, productos!$A$2:$A$150, productos!$D$2:$D$150, "No Encontrado", 0)</f>
        <v>5.24</v>
      </c>
      <c r="I1302">
        <f t="shared" si="20"/>
        <v>26.200000000000003</v>
      </c>
    </row>
    <row r="1303" spans="1:9" x14ac:dyDescent="0.25">
      <c r="A1303">
        <v>1502</v>
      </c>
      <c r="B1303" s="1">
        <v>45444</v>
      </c>
      <c r="C1303">
        <v>165</v>
      </c>
      <c r="D1303">
        <v>29</v>
      </c>
      <c r="E1303">
        <v>1</v>
      </c>
      <c r="F1303">
        <v>5</v>
      </c>
      <c r="G1303" t="s">
        <v>1044</v>
      </c>
      <c r="H1303">
        <f>_xlfn.XLOOKUP(D1303, productos!$A$2:$A$150, productos!$D$2:$D$150, "No Encontrado", 0)</f>
        <v>11.54</v>
      </c>
      <c r="I1303">
        <f t="shared" si="20"/>
        <v>11.54</v>
      </c>
    </row>
    <row r="1304" spans="1:9" x14ac:dyDescent="0.25">
      <c r="A1304">
        <v>1562</v>
      </c>
      <c r="B1304" s="1">
        <v>45444</v>
      </c>
      <c r="C1304">
        <v>213</v>
      </c>
      <c r="D1304">
        <v>31</v>
      </c>
      <c r="E1304">
        <v>5</v>
      </c>
      <c r="F1304">
        <v>5</v>
      </c>
      <c r="G1304" t="s">
        <v>1045</v>
      </c>
      <c r="H1304">
        <f>_xlfn.XLOOKUP(D1304, productos!$A$2:$A$150, productos!$D$2:$D$150, "No Encontrado", 0)</f>
        <v>5.24</v>
      </c>
      <c r="I1304">
        <f t="shared" si="20"/>
        <v>26.200000000000003</v>
      </c>
    </row>
    <row r="1305" spans="1:9" x14ac:dyDescent="0.25">
      <c r="A1305">
        <v>1751</v>
      </c>
      <c r="B1305" s="1">
        <v>45444</v>
      </c>
      <c r="C1305">
        <v>211</v>
      </c>
      <c r="D1305">
        <v>36</v>
      </c>
      <c r="E1305">
        <v>6</v>
      </c>
      <c r="F1305">
        <v>3</v>
      </c>
      <c r="G1305" t="s">
        <v>1044</v>
      </c>
      <c r="H1305">
        <f>_xlfn.XLOOKUP(D1305, productos!$A$2:$A$150, productos!$D$2:$D$150, "No Encontrado", 0)</f>
        <v>3.25</v>
      </c>
      <c r="I1305">
        <f t="shared" si="20"/>
        <v>19.5</v>
      </c>
    </row>
    <row r="1306" spans="1:9" x14ac:dyDescent="0.25">
      <c r="A1306">
        <v>2249</v>
      </c>
      <c r="B1306" s="1">
        <v>45444</v>
      </c>
      <c r="C1306">
        <v>124</v>
      </c>
      <c r="D1306">
        <v>29</v>
      </c>
      <c r="E1306">
        <v>2</v>
      </c>
      <c r="F1306">
        <v>4</v>
      </c>
      <c r="G1306" t="s">
        <v>1044</v>
      </c>
      <c r="H1306">
        <f>_xlfn.XLOOKUP(D1306, productos!$A$2:$A$150, productos!$D$2:$D$150, "No Encontrado", 0)</f>
        <v>11.54</v>
      </c>
      <c r="I1306">
        <f t="shared" si="20"/>
        <v>23.08</v>
      </c>
    </row>
    <row r="1307" spans="1:9" x14ac:dyDescent="0.25">
      <c r="A1307">
        <v>2579</v>
      </c>
      <c r="B1307" s="1">
        <v>45444</v>
      </c>
      <c r="C1307">
        <v>66</v>
      </c>
      <c r="D1307">
        <v>27</v>
      </c>
      <c r="E1307">
        <v>5</v>
      </c>
      <c r="F1307">
        <v>5</v>
      </c>
      <c r="G1307" t="s">
        <v>1045</v>
      </c>
      <c r="H1307">
        <f>_xlfn.XLOOKUP(D1307, productos!$A$2:$A$150, productos!$D$2:$D$150, "No Encontrado", 0)</f>
        <v>6.21</v>
      </c>
      <c r="I1307">
        <f t="shared" si="20"/>
        <v>31.05</v>
      </c>
    </row>
    <row r="1308" spans="1:9" x14ac:dyDescent="0.25">
      <c r="A1308">
        <v>2909</v>
      </c>
      <c r="B1308" s="1">
        <v>45444</v>
      </c>
      <c r="C1308">
        <v>277</v>
      </c>
      <c r="D1308">
        <v>24</v>
      </c>
      <c r="E1308">
        <v>3</v>
      </c>
      <c r="F1308">
        <v>3</v>
      </c>
      <c r="G1308" t="s">
        <v>1044</v>
      </c>
      <c r="H1308">
        <f>_xlfn.XLOOKUP(D1308, productos!$A$2:$A$150, productos!$D$2:$D$150, "No Encontrado", 0)</f>
        <v>13.54</v>
      </c>
      <c r="I1308">
        <f t="shared" si="20"/>
        <v>40.619999999999997</v>
      </c>
    </row>
    <row r="1309" spans="1:9" x14ac:dyDescent="0.25">
      <c r="A1309">
        <v>2979</v>
      </c>
      <c r="B1309" s="1">
        <v>45444</v>
      </c>
      <c r="C1309">
        <v>5</v>
      </c>
      <c r="D1309">
        <v>9</v>
      </c>
      <c r="E1309">
        <v>4</v>
      </c>
      <c r="F1309">
        <v>2</v>
      </c>
      <c r="G1309" t="s">
        <v>1045</v>
      </c>
      <c r="H1309">
        <f>_xlfn.XLOOKUP(D1309, productos!$A$2:$A$150, productos!$D$2:$D$150, "No Encontrado", 0)</f>
        <v>18.559999999999999</v>
      </c>
      <c r="I1309">
        <f t="shared" si="20"/>
        <v>74.239999999999995</v>
      </c>
    </row>
    <row r="1310" spans="1:9" x14ac:dyDescent="0.25">
      <c r="A1310">
        <v>425</v>
      </c>
      <c r="B1310" s="1">
        <v>45445</v>
      </c>
      <c r="C1310">
        <v>138</v>
      </c>
      <c r="D1310">
        <v>5</v>
      </c>
      <c r="E1310">
        <v>5</v>
      </c>
      <c r="F1310">
        <v>4</v>
      </c>
      <c r="G1310" t="s">
        <v>1044</v>
      </c>
      <c r="H1310">
        <f>_xlfn.XLOOKUP(D1310, productos!$A$2:$A$150, productos!$D$2:$D$150, "No Encontrado", 0)</f>
        <v>5.65</v>
      </c>
      <c r="I1310">
        <f t="shared" si="20"/>
        <v>28.25</v>
      </c>
    </row>
    <row r="1311" spans="1:9" x14ac:dyDescent="0.25">
      <c r="A1311">
        <v>516</v>
      </c>
      <c r="B1311" s="1">
        <v>45445</v>
      </c>
      <c r="C1311">
        <v>83</v>
      </c>
      <c r="D1311">
        <v>17</v>
      </c>
      <c r="E1311">
        <v>2</v>
      </c>
      <c r="F1311">
        <v>1</v>
      </c>
      <c r="G1311" t="s">
        <v>1045</v>
      </c>
      <c r="H1311">
        <f>_xlfn.XLOOKUP(D1311, productos!$A$2:$A$150, productos!$D$2:$D$150, "No Encontrado", 0)</f>
        <v>6.54</v>
      </c>
      <c r="I1311">
        <f t="shared" si="20"/>
        <v>13.08</v>
      </c>
    </row>
    <row r="1312" spans="1:9" x14ac:dyDescent="0.25">
      <c r="A1312">
        <v>765</v>
      </c>
      <c r="B1312" s="1">
        <v>45445</v>
      </c>
      <c r="C1312">
        <v>229</v>
      </c>
      <c r="D1312">
        <v>25</v>
      </c>
      <c r="E1312">
        <v>4</v>
      </c>
      <c r="F1312">
        <v>4</v>
      </c>
      <c r="G1312" t="s">
        <v>1044</v>
      </c>
      <c r="H1312">
        <f>_xlfn.XLOOKUP(D1312, productos!$A$2:$A$150, productos!$D$2:$D$150, "No Encontrado", 0)</f>
        <v>15.45</v>
      </c>
      <c r="I1312">
        <f t="shared" si="20"/>
        <v>61.8</v>
      </c>
    </row>
    <row r="1313" spans="1:9" x14ac:dyDescent="0.25">
      <c r="A1313">
        <v>922</v>
      </c>
      <c r="B1313" s="1">
        <v>45445</v>
      </c>
      <c r="C1313">
        <v>210</v>
      </c>
      <c r="D1313">
        <v>24</v>
      </c>
      <c r="E1313">
        <v>5</v>
      </c>
      <c r="F1313">
        <v>5</v>
      </c>
      <c r="G1313" t="s">
        <v>1044</v>
      </c>
      <c r="H1313">
        <f>_xlfn.XLOOKUP(D1313, productos!$A$2:$A$150, productos!$D$2:$D$150, "No Encontrado", 0)</f>
        <v>13.54</v>
      </c>
      <c r="I1313">
        <f t="shared" si="20"/>
        <v>67.699999999999989</v>
      </c>
    </row>
    <row r="1314" spans="1:9" x14ac:dyDescent="0.25">
      <c r="A1314">
        <v>991</v>
      </c>
      <c r="B1314" s="1">
        <v>45445</v>
      </c>
      <c r="C1314">
        <v>104</v>
      </c>
      <c r="D1314">
        <v>4</v>
      </c>
      <c r="E1314">
        <v>2</v>
      </c>
      <c r="F1314">
        <v>2</v>
      </c>
      <c r="G1314" t="s">
        <v>1044</v>
      </c>
      <c r="H1314">
        <f>_xlfn.XLOOKUP(D1314, productos!$A$2:$A$150, productos!$D$2:$D$150, "No Encontrado", 0)</f>
        <v>19.23</v>
      </c>
      <c r="I1314">
        <f t="shared" si="20"/>
        <v>38.46</v>
      </c>
    </row>
    <row r="1315" spans="1:9" x14ac:dyDescent="0.25">
      <c r="A1315">
        <v>1187</v>
      </c>
      <c r="B1315" s="1">
        <v>45445</v>
      </c>
      <c r="C1315">
        <v>154</v>
      </c>
      <c r="D1315">
        <v>5</v>
      </c>
      <c r="E1315">
        <v>5</v>
      </c>
      <c r="F1315">
        <v>3</v>
      </c>
      <c r="G1315" t="s">
        <v>1044</v>
      </c>
      <c r="H1315">
        <f>_xlfn.XLOOKUP(D1315, productos!$A$2:$A$150, productos!$D$2:$D$150, "No Encontrado", 0)</f>
        <v>5.65</v>
      </c>
      <c r="I1315">
        <f t="shared" si="20"/>
        <v>28.25</v>
      </c>
    </row>
    <row r="1316" spans="1:9" x14ac:dyDescent="0.25">
      <c r="A1316">
        <v>1244</v>
      </c>
      <c r="B1316" s="1">
        <v>45445</v>
      </c>
      <c r="C1316">
        <v>200</v>
      </c>
      <c r="D1316">
        <v>6</v>
      </c>
      <c r="E1316">
        <v>3</v>
      </c>
      <c r="F1316">
        <v>2</v>
      </c>
      <c r="G1316" t="s">
        <v>1044</v>
      </c>
      <c r="H1316">
        <f>_xlfn.XLOOKUP(D1316, productos!$A$2:$A$150, productos!$D$2:$D$150, "No Encontrado", 0)</f>
        <v>28.56</v>
      </c>
      <c r="I1316">
        <f t="shared" si="20"/>
        <v>85.679999999999993</v>
      </c>
    </row>
    <row r="1317" spans="1:9" x14ac:dyDescent="0.25">
      <c r="A1317">
        <v>1518</v>
      </c>
      <c r="B1317" s="1">
        <v>45445</v>
      </c>
      <c r="C1317">
        <v>33</v>
      </c>
      <c r="D1317">
        <v>38</v>
      </c>
      <c r="E1317">
        <v>6</v>
      </c>
      <c r="F1317">
        <v>1</v>
      </c>
      <c r="G1317" t="s">
        <v>1044</v>
      </c>
      <c r="H1317">
        <f>_xlfn.XLOOKUP(D1317, productos!$A$2:$A$150, productos!$D$2:$D$150, "No Encontrado", 0)</f>
        <v>6.21</v>
      </c>
      <c r="I1317">
        <f t="shared" si="20"/>
        <v>37.26</v>
      </c>
    </row>
    <row r="1318" spans="1:9" x14ac:dyDescent="0.25">
      <c r="A1318">
        <v>1590</v>
      </c>
      <c r="B1318" s="1">
        <v>45445</v>
      </c>
      <c r="C1318">
        <v>265</v>
      </c>
      <c r="D1318">
        <v>8</v>
      </c>
      <c r="E1318">
        <v>3</v>
      </c>
      <c r="F1318">
        <v>5</v>
      </c>
      <c r="G1318" t="s">
        <v>1045</v>
      </c>
      <c r="H1318">
        <f>_xlfn.XLOOKUP(D1318, productos!$A$2:$A$150, productos!$D$2:$D$150, "No Encontrado", 0)</f>
        <v>16.21</v>
      </c>
      <c r="I1318">
        <f t="shared" si="20"/>
        <v>48.63</v>
      </c>
    </row>
    <row r="1319" spans="1:9" x14ac:dyDescent="0.25">
      <c r="A1319">
        <v>2181</v>
      </c>
      <c r="B1319" s="1">
        <v>45445</v>
      </c>
      <c r="C1319">
        <v>136</v>
      </c>
      <c r="D1319">
        <v>1</v>
      </c>
      <c r="E1319">
        <v>6</v>
      </c>
      <c r="F1319">
        <v>2</v>
      </c>
      <c r="G1319" t="s">
        <v>1044</v>
      </c>
      <c r="H1319">
        <f>_xlfn.XLOOKUP(D1319, productos!$A$2:$A$150, productos!$D$2:$D$150, "No Encontrado", 0)</f>
        <v>12.24</v>
      </c>
      <c r="I1319">
        <f t="shared" si="20"/>
        <v>73.44</v>
      </c>
    </row>
    <row r="1320" spans="1:9" x14ac:dyDescent="0.25">
      <c r="A1320">
        <v>2308</v>
      </c>
      <c r="B1320" s="1">
        <v>45445</v>
      </c>
      <c r="C1320">
        <v>31</v>
      </c>
      <c r="D1320">
        <v>23</v>
      </c>
      <c r="E1320">
        <v>2</v>
      </c>
      <c r="F1320">
        <v>1</v>
      </c>
      <c r="G1320" t="s">
        <v>1044</v>
      </c>
      <c r="H1320">
        <f>_xlfn.XLOOKUP(D1320, productos!$A$2:$A$150, productos!$D$2:$D$150, "No Encontrado", 0)</f>
        <v>8.23</v>
      </c>
      <c r="I1320">
        <f t="shared" si="20"/>
        <v>16.46</v>
      </c>
    </row>
    <row r="1321" spans="1:9" x14ac:dyDescent="0.25">
      <c r="A1321">
        <v>2498</v>
      </c>
      <c r="B1321" s="1">
        <v>45445</v>
      </c>
      <c r="C1321">
        <v>144</v>
      </c>
      <c r="D1321">
        <v>28</v>
      </c>
      <c r="E1321">
        <v>3</v>
      </c>
      <c r="F1321">
        <v>1</v>
      </c>
      <c r="G1321" t="s">
        <v>1044</v>
      </c>
      <c r="H1321">
        <f>_xlfn.XLOOKUP(D1321, productos!$A$2:$A$150, productos!$D$2:$D$150, "No Encontrado", 0)</f>
        <v>9.4499999999999993</v>
      </c>
      <c r="I1321">
        <f t="shared" si="20"/>
        <v>28.349999999999998</v>
      </c>
    </row>
    <row r="1322" spans="1:9" x14ac:dyDescent="0.25">
      <c r="A1322">
        <v>2505</v>
      </c>
      <c r="B1322" s="1">
        <v>45445</v>
      </c>
      <c r="C1322">
        <v>235</v>
      </c>
      <c r="D1322">
        <v>30</v>
      </c>
      <c r="E1322">
        <v>4</v>
      </c>
      <c r="F1322">
        <v>4</v>
      </c>
      <c r="G1322" t="s">
        <v>1045</v>
      </c>
      <c r="H1322">
        <f>_xlfn.XLOOKUP(D1322, productos!$A$2:$A$150, productos!$D$2:$D$150, "No Encontrado", 0)</f>
        <v>13.54</v>
      </c>
      <c r="I1322">
        <f t="shared" si="20"/>
        <v>54.16</v>
      </c>
    </row>
    <row r="1323" spans="1:9" x14ac:dyDescent="0.25">
      <c r="A1323">
        <v>2566</v>
      </c>
      <c r="B1323" s="1">
        <v>45445</v>
      </c>
      <c r="C1323">
        <v>158</v>
      </c>
      <c r="D1323">
        <v>8</v>
      </c>
      <c r="E1323">
        <v>3</v>
      </c>
      <c r="F1323">
        <v>5</v>
      </c>
      <c r="G1323" t="s">
        <v>1044</v>
      </c>
      <c r="H1323">
        <f>_xlfn.XLOOKUP(D1323, productos!$A$2:$A$150, productos!$D$2:$D$150, "No Encontrado", 0)</f>
        <v>16.21</v>
      </c>
      <c r="I1323">
        <f t="shared" si="20"/>
        <v>48.63</v>
      </c>
    </row>
    <row r="1324" spans="1:9" x14ac:dyDescent="0.25">
      <c r="A1324">
        <v>2824</v>
      </c>
      <c r="B1324" s="1">
        <v>45445</v>
      </c>
      <c r="C1324">
        <v>144</v>
      </c>
      <c r="D1324">
        <v>17</v>
      </c>
      <c r="E1324">
        <v>4</v>
      </c>
      <c r="F1324">
        <v>1</v>
      </c>
      <c r="G1324" t="s">
        <v>1044</v>
      </c>
      <c r="H1324">
        <f>_xlfn.XLOOKUP(D1324, productos!$A$2:$A$150, productos!$D$2:$D$150, "No Encontrado", 0)</f>
        <v>6.54</v>
      </c>
      <c r="I1324">
        <f t="shared" si="20"/>
        <v>26.16</v>
      </c>
    </row>
    <row r="1325" spans="1:9" x14ac:dyDescent="0.25">
      <c r="A1325">
        <v>1681</v>
      </c>
      <c r="B1325" s="1">
        <v>45446</v>
      </c>
      <c r="C1325">
        <v>167</v>
      </c>
      <c r="D1325">
        <v>2</v>
      </c>
      <c r="E1325">
        <v>3</v>
      </c>
      <c r="F1325">
        <v>3</v>
      </c>
      <c r="G1325" t="s">
        <v>1044</v>
      </c>
      <c r="H1325">
        <f>_xlfn.XLOOKUP(D1325, productos!$A$2:$A$150, productos!$D$2:$D$150, "No Encontrado", 0)</f>
        <v>5.21</v>
      </c>
      <c r="I1325">
        <f t="shared" si="20"/>
        <v>15.629999999999999</v>
      </c>
    </row>
    <row r="1326" spans="1:9" x14ac:dyDescent="0.25">
      <c r="A1326">
        <v>1935</v>
      </c>
      <c r="B1326" s="1">
        <v>45446</v>
      </c>
      <c r="C1326">
        <v>311</v>
      </c>
      <c r="D1326">
        <v>8</v>
      </c>
      <c r="E1326">
        <v>5</v>
      </c>
      <c r="F1326">
        <v>5</v>
      </c>
      <c r="G1326" t="s">
        <v>1044</v>
      </c>
      <c r="H1326">
        <f>_xlfn.XLOOKUP(D1326, productos!$A$2:$A$150, productos!$D$2:$D$150, "No Encontrado", 0)</f>
        <v>16.21</v>
      </c>
      <c r="I1326">
        <f t="shared" si="20"/>
        <v>81.050000000000011</v>
      </c>
    </row>
    <row r="1327" spans="1:9" x14ac:dyDescent="0.25">
      <c r="A1327">
        <v>2057</v>
      </c>
      <c r="B1327" s="1">
        <v>45446</v>
      </c>
      <c r="C1327">
        <v>81</v>
      </c>
      <c r="D1327">
        <v>9</v>
      </c>
      <c r="E1327">
        <v>5</v>
      </c>
      <c r="F1327">
        <v>1</v>
      </c>
      <c r="G1327" t="s">
        <v>1044</v>
      </c>
      <c r="H1327">
        <f>_xlfn.XLOOKUP(D1327, productos!$A$2:$A$150, productos!$D$2:$D$150, "No Encontrado", 0)</f>
        <v>18.559999999999999</v>
      </c>
      <c r="I1327">
        <f t="shared" si="20"/>
        <v>92.8</v>
      </c>
    </row>
    <row r="1328" spans="1:9" x14ac:dyDescent="0.25">
      <c r="A1328">
        <v>2300</v>
      </c>
      <c r="B1328" s="1">
        <v>45446</v>
      </c>
      <c r="C1328">
        <v>49</v>
      </c>
      <c r="D1328">
        <v>27</v>
      </c>
      <c r="E1328">
        <v>6</v>
      </c>
      <c r="F1328">
        <v>4</v>
      </c>
      <c r="G1328" t="s">
        <v>1044</v>
      </c>
      <c r="H1328">
        <f>_xlfn.XLOOKUP(D1328, productos!$A$2:$A$150, productos!$D$2:$D$150, "No Encontrado", 0)</f>
        <v>6.21</v>
      </c>
      <c r="I1328">
        <f t="shared" si="20"/>
        <v>37.26</v>
      </c>
    </row>
    <row r="1329" spans="1:9" x14ac:dyDescent="0.25">
      <c r="A1329">
        <v>2304</v>
      </c>
      <c r="B1329" s="1">
        <v>45446</v>
      </c>
      <c r="C1329">
        <v>276</v>
      </c>
      <c r="D1329">
        <v>14</v>
      </c>
      <c r="E1329">
        <v>6</v>
      </c>
      <c r="F1329">
        <v>1</v>
      </c>
      <c r="G1329" t="s">
        <v>1044</v>
      </c>
      <c r="H1329">
        <f>_xlfn.XLOOKUP(D1329, productos!$A$2:$A$150, productos!$D$2:$D$150, "No Encontrado", 0)</f>
        <v>12.36</v>
      </c>
      <c r="I1329">
        <f t="shared" si="20"/>
        <v>74.16</v>
      </c>
    </row>
    <row r="1330" spans="1:9" x14ac:dyDescent="0.25">
      <c r="A1330">
        <v>2433</v>
      </c>
      <c r="B1330" s="1">
        <v>45446</v>
      </c>
      <c r="C1330">
        <v>126</v>
      </c>
      <c r="D1330">
        <v>29</v>
      </c>
      <c r="E1330">
        <v>2</v>
      </c>
      <c r="F1330">
        <v>1</v>
      </c>
      <c r="G1330" t="s">
        <v>1044</v>
      </c>
      <c r="H1330">
        <f>_xlfn.XLOOKUP(D1330, productos!$A$2:$A$150, productos!$D$2:$D$150, "No Encontrado", 0)</f>
        <v>11.54</v>
      </c>
      <c r="I1330">
        <f t="shared" si="20"/>
        <v>23.08</v>
      </c>
    </row>
    <row r="1331" spans="1:9" x14ac:dyDescent="0.25">
      <c r="A1331">
        <v>2476</v>
      </c>
      <c r="B1331" s="1">
        <v>45446</v>
      </c>
      <c r="C1331">
        <v>69</v>
      </c>
      <c r="D1331">
        <v>21</v>
      </c>
      <c r="E1331">
        <v>5</v>
      </c>
      <c r="F1331">
        <v>1</v>
      </c>
      <c r="G1331" t="s">
        <v>1044</v>
      </c>
      <c r="H1331">
        <f>_xlfn.XLOOKUP(D1331, productos!$A$2:$A$150, productos!$D$2:$D$150, "No Encontrado", 0)</f>
        <v>3.25</v>
      </c>
      <c r="I1331">
        <f t="shared" si="20"/>
        <v>16.25</v>
      </c>
    </row>
    <row r="1332" spans="1:9" x14ac:dyDescent="0.25">
      <c r="A1332">
        <v>2614</v>
      </c>
      <c r="B1332" s="1">
        <v>45446</v>
      </c>
      <c r="C1332">
        <v>279</v>
      </c>
      <c r="D1332">
        <v>34</v>
      </c>
      <c r="E1332">
        <v>4</v>
      </c>
      <c r="F1332">
        <v>5</v>
      </c>
      <c r="G1332" t="s">
        <v>1045</v>
      </c>
      <c r="H1332">
        <f>_xlfn.XLOOKUP(D1332, productos!$A$2:$A$150, productos!$D$2:$D$150, "No Encontrado", 0)</f>
        <v>5.45</v>
      </c>
      <c r="I1332">
        <f t="shared" si="20"/>
        <v>21.8</v>
      </c>
    </row>
    <row r="1333" spans="1:9" x14ac:dyDescent="0.25">
      <c r="A1333">
        <v>2790</v>
      </c>
      <c r="B1333" s="1">
        <v>45446</v>
      </c>
      <c r="C1333">
        <v>97</v>
      </c>
      <c r="D1333">
        <v>34</v>
      </c>
      <c r="E1333">
        <v>1</v>
      </c>
      <c r="F1333">
        <v>5</v>
      </c>
      <c r="G1333" t="s">
        <v>1044</v>
      </c>
      <c r="H1333">
        <f>_xlfn.XLOOKUP(D1333, productos!$A$2:$A$150, productos!$D$2:$D$150, "No Encontrado", 0)</f>
        <v>5.45</v>
      </c>
      <c r="I1333">
        <f t="shared" si="20"/>
        <v>5.45</v>
      </c>
    </row>
    <row r="1334" spans="1:9" x14ac:dyDescent="0.25">
      <c r="A1334">
        <v>2908</v>
      </c>
      <c r="B1334" s="1">
        <v>45446</v>
      </c>
      <c r="C1334">
        <v>48</v>
      </c>
      <c r="D1334">
        <v>21</v>
      </c>
      <c r="E1334">
        <v>2</v>
      </c>
      <c r="F1334">
        <v>4</v>
      </c>
      <c r="G1334" t="s">
        <v>1044</v>
      </c>
      <c r="H1334">
        <f>_xlfn.XLOOKUP(D1334, productos!$A$2:$A$150, productos!$D$2:$D$150, "No Encontrado", 0)</f>
        <v>3.25</v>
      </c>
      <c r="I1334">
        <f t="shared" si="20"/>
        <v>6.5</v>
      </c>
    </row>
    <row r="1335" spans="1:9" x14ac:dyDescent="0.25">
      <c r="A1335">
        <v>466</v>
      </c>
      <c r="B1335" s="1">
        <v>45447</v>
      </c>
      <c r="C1335">
        <v>7</v>
      </c>
      <c r="D1335">
        <v>9</v>
      </c>
      <c r="E1335">
        <v>4</v>
      </c>
      <c r="F1335">
        <v>1</v>
      </c>
      <c r="G1335" t="s">
        <v>1044</v>
      </c>
      <c r="H1335">
        <f>_xlfn.XLOOKUP(D1335, productos!$A$2:$A$150, productos!$D$2:$D$150, "No Encontrado", 0)</f>
        <v>18.559999999999999</v>
      </c>
      <c r="I1335">
        <f t="shared" si="20"/>
        <v>74.239999999999995</v>
      </c>
    </row>
    <row r="1336" spans="1:9" x14ac:dyDescent="0.25">
      <c r="A1336">
        <v>580</v>
      </c>
      <c r="B1336" s="1">
        <v>45447</v>
      </c>
      <c r="C1336">
        <v>195</v>
      </c>
      <c r="D1336">
        <v>32</v>
      </c>
      <c r="E1336">
        <v>1</v>
      </c>
      <c r="F1336">
        <v>5</v>
      </c>
      <c r="G1336" t="s">
        <v>1044</v>
      </c>
      <c r="H1336">
        <f>_xlfn.XLOOKUP(D1336, productos!$A$2:$A$150, productos!$D$2:$D$150, "No Encontrado", 0)</f>
        <v>6.25</v>
      </c>
      <c r="I1336">
        <f t="shared" si="20"/>
        <v>6.25</v>
      </c>
    </row>
    <row r="1337" spans="1:9" x14ac:dyDescent="0.25">
      <c r="A1337">
        <v>833</v>
      </c>
      <c r="B1337" s="1">
        <v>45447</v>
      </c>
      <c r="C1337">
        <v>303</v>
      </c>
      <c r="D1337">
        <v>28</v>
      </c>
      <c r="E1337">
        <v>1</v>
      </c>
      <c r="F1337">
        <v>3</v>
      </c>
      <c r="G1337" t="s">
        <v>1044</v>
      </c>
      <c r="H1337">
        <f>_xlfn.XLOOKUP(D1337, productos!$A$2:$A$150, productos!$D$2:$D$150, "No Encontrado", 0)</f>
        <v>9.4499999999999993</v>
      </c>
      <c r="I1337">
        <f t="shared" si="20"/>
        <v>9.4499999999999993</v>
      </c>
    </row>
    <row r="1338" spans="1:9" x14ac:dyDescent="0.25">
      <c r="A1338">
        <v>996</v>
      </c>
      <c r="B1338" s="1">
        <v>45447</v>
      </c>
      <c r="C1338">
        <v>242</v>
      </c>
      <c r="D1338">
        <v>13</v>
      </c>
      <c r="E1338">
        <v>5</v>
      </c>
      <c r="F1338">
        <v>3</v>
      </c>
      <c r="G1338" t="s">
        <v>1044</v>
      </c>
      <c r="H1338">
        <f>_xlfn.XLOOKUP(D1338, productos!$A$2:$A$150, productos!$D$2:$D$150, "No Encontrado", 0)</f>
        <v>12.56</v>
      </c>
      <c r="I1338">
        <f t="shared" si="20"/>
        <v>62.800000000000004</v>
      </c>
    </row>
    <row r="1339" spans="1:9" x14ac:dyDescent="0.25">
      <c r="A1339">
        <v>1112</v>
      </c>
      <c r="B1339" s="1">
        <v>45447</v>
      </c>
      <c r="C1339">
        <v>171</v>
      </c>
      <c r="D1339">
        <v>37</v>
      </c>
      <c r="E1339">
        <v>3</v>
      </c>
      <c r="F1339">
        <v>5</v>
      </c>
      <c r="G1339" t="s">
        <v>1044</v>
      </c>
      <c r="H1339">
        <f>_xlfn.XLOOKUP(D1339, productos!$A$2:$A$150, productos!$D$2:$D$150, "No Encontrado", 0)</f>
        <v>3.65</v>
      </c>
      <c r="I1339">
        <f t="shared" si="20"/>
        <v>10.95</v>
      </c>
    </row>
    <row r="1340" spans="1:9" x14ac:dyDescent="0.25">
      <c r="A1340">
        <v>2266</v>
      </c>
      <c r="B1340" s="1">
        <v>45447</v>
      </c>
      <c r="C1340">
        <v>108</v>
      </c>
      <c r="D1340">
        <v>5</v>
      </c>
      <c r="E1340">
        <v>3</v>
      </c>
      <c r="F1340">
        <v>4</v>
      </c>
      <c r="G1340" t="s">
        <v>1044</v>
      </c>
      <c r="H1340">
        <f>_xlfn.XLOOKUP(D1340, productos!$A$2:$A$150, productos!$D$2:$D$150, "No Encontrado", 0)</f>
        <v>5.65</v>
      </c>
      <c r="I1340">
        <f t="shared" si="20"/>
        <v>16.950000000000003</v>
      </c>
    </row>
    <row r="1341" spans="1:9" x14ac:dyDescent="0.25">
      <c r="A1341">
        <v>2509</v>
      </c>
      <c r="B1341" s="1">
        <v>45447</v>
      </c>
      <c r="C1341">
        <v>114</v>
      </c>
      <c r="D1341">
        <v>9</v>
      </c>
      <c r="E1341">
        <v>1</v>
      </c>
      <c r="F1341">
        <v>4</v>
      </c>
      <c r="G1341" t="s">
        <v>1044</v>
      </c>
      <c r="H1341">
        <f>_xlfn.XLOOKUP(D1341, productos!$A$2:$A$150, productos!$D$2:$D$150, "No Encontrado", 0)</f>
        <v>18.559999999999999</v>
      </c>
      <c r="I1341">
        <f t="shared" si="20"/>
        <v>18.559999999999999</v>
      </c>
    </row>
    <row r="1342" spans="1:9" x14ac:dyDescent="0.25">
      <c r="A1342">
        <v>2601</v>
      </c>
      <c r="B1342" s="1">
        <v>45447</v>
      </c>
      <c r="C1342">
        <v>218</v>
      </c>
      <c r="D1342">
        <v>32</v>
      </c>
      <c r="E1342">
        <v>3</v>
      </c>
      <c r="F1342">
        <v>5</v>
      </c>
      <c r="G1342" t="s">
        <v>1044</v>
      </c>
      <c r="H1342">
        <f>_xlfn.XLOOKUP(D1342, productos!$A$2:$A$150, productos!$D$2:$D$150, "No Encontrado", 0)</f>
        <v>6.25</v>
      </c>
      <c r="I1342">
        <f t="shared" si="20"/>
        <v>18.75</v>
      </c>
    </row>
    <row r="1343" spans="1:9" x14ac:dyDescent="0.25">
      <c r="A1343">
        <v>2860</v>
      </c>
      <c r="B1343" s="1">
        <v>45447</v>
      </c>
      <c r="C1343">
        <v>156</v>
      </c>
      <c r="D1343">
        <v>14</v>
      </c>
      <c r="E1343">
        <v>6</v>
      </c>
      <c r="F1343">
        <v>5</v>
      </c>
      <c r="G1343" t="s">
        <v>1044</v>
      </c>
      <c r="H1343">
        <f>_xlfn.XLOOKUP(D1343, productos!$A$2:$A$150, productos!$D$2:$D$150, "No Encontrado", 0)</f>
        <v>12.36</v>
      </c>
      <c r="I1343">
        <f t="shared" si="20"/>
        <v>74.16</v>
      </c>
    </row>
    <row r="1344" spans="1:9" x14ac:dyDescent="0.25">
      <c r="A1344">
        <v>2959</v>
      </c>
      <c r="B1344" s="1">
        <v>45447</v>
      </c>
      <c r="C1344">
        <v>197</v>
      </c>
      <c r="D1344">
        <v>19</v>
      </c>
      <c r="E1344">
        <v>2</v>
      </c>
      <c r="F1344">
        <v>4</v>
      </c>
      <c r="G1344" t="s">
        <v>1044</v>
      </c>
      <c r="H1344">
        <f>_xlfn.XLOOKUP(D1344, productos!$A$2:$A$150, productos!$D$2:$D$150, "No Encontrado", 0)</f>
        <v>6.54</v>
      </c>
      <c r="I1344">
        <f t="shared" si="20"/>
        <v>13.08</v>
      </c>
    </row>
    <row r="1345" spans="1:9" x14ac:dyDescent="0.25">
      <c r="A1345">
        <v>512</v>
      </c>
      <c r="B1345" s="1">
        <v>45448</v>
      </c>
      <c r="C1345">
        <v>106</v>
      </c>
      <c r="D1345">
        <v>21</v>
      </c>
      <c r="E1345">
        <v>6</v>
      </c>
      <c r="F1345">
        <v>5</v>
      </c>
      <c r="G1345" t="s">
        <v>1044</v>
      </c>
      <c r="H1345">
        <f>_xlfn.XLOOKUP(D1345, productos!$A$2:$A$150, productos!$D$2:$D$150, "No Encontrado", 0)</f>
        <v>3.25</v>
      </c>
      <c r="I1345">
        <f t="shared" si="20"/>
        <v>19.5</v>
      </c>
    </row>
    <row r="1346" spans="1:9" x14ac:dyDescent="0.25">
      <c r="A1346">
        <v>626</v>
      </c>
      <c r="B1346" s="1">
        <v>45448</v>
      </c>
      <c r="C1346">
        <v>324</v>
      </c>
      <c r="D1346">
        <v>21</v>
      </c>
      <c r="E1346">
        <v>1</v>
      </c>
      <c r="F1346">
        <v>1</v>
      </c>
      <c r="G1346" t="s">
        <v>1044</v>
      </c>
      <c r="H1346">
        <f>_xlfn.XLOOKUP(D1346, productos!$A$2:$A$150, productos!$D$2:$D$150, "No Encontrado", 0)</f>
        <v>3.25</v>
      </c>
      <c r="I1346">
        <f t="shared" si="20"/>
        <v>3.25</v>
      </c>
    </row>
    <row r="1347" spans="1:9" x14ac:dyDescent="0.25">
      <c r="A1347">
        <v>710</v>
      </c>
      <c r="B1347" s="1">
        <v>45448</v>
      </c>
      <c r="C1347">
        <v>292</v>
      </c>
      <c r="D1347">
        <v>27</v>
      </c>
      <c r="E1347">
        <v>6</v>
      </c>
      <c r="F1347">
        <v>5</v>
      </c>
      <c r="G1347" t="s">
        <v>1044</v>
      </c>
      <c r="H1347">
        <f>_xlfn.XLOOKUP(D1347, productos!$A$2:$A$150, productos!$D$2:$D$150, "No Encontrado", 0)</f>
        <v>6.21</v>
      </c>
      <c r="I1347">
        <f t="shared" ref="I1347:I1410" si="21">E1347*H1347</f>
        <v>37.26</v>
      </c>
    </row>
    <row r="1348" spans="1:9" x14ac:dyDescent="0.25">
      <c r="A1348">
        <v>985</v>
      </c>
      <c r="B1348" s="1">
        <v>45448</v>
      </c>
      <c r="C1348">
        <v>29</v>
      </c>
      <c r="D1348">
        <v>12</v>
      </c>
      <c r="E1348">
        <v>3</v>
      </c>
      <c r="F1348">
        <v>3</v>
      </c>
      <c r="G1348" t="s">
        <v>1044</v>
      </c>
      <c r="H1348">
        <f>_xlfn.XLOOKUP(D1348, productos!$A$2:$A$150, productos!$D$2:$D$150, "No Encontrado", 0)</f>
        <v>8.1199999999999992</v>
      </c>
      <c r="I1348">
        <f t="shared" si="21"/>
        <v>24.36</v>
      </c>
    </row>
    <row r="1349" spans="1:9" x14ac:dyDescent="0.25">
      <c r="A1349">
        <v>1225</v>
      </c>
      <c r="B1349" s="1">
        <v>45448</v>
      </c>
      <c r="C1349">
        <v>134</v>
      </c>
      <c r="D1349">
        <v>29</v>
      </c>
      <c r="E1349">
        <v>5</v>
      </c>
      <c r="F1349">
        <v>4</v>
      </c>
      <c r="G1349" t="s">
        <v>1044</v>
      </c>
      <c r="H1349">
        <f>_xlfn.XLOOKUP(D1349, productos!$A$2:$A$150, productos!$D$2:$D$150, "No Encontrado", 0)</f>
        <v>11.54</v>
      </c>
      <c r="I1349">
        <f t="shared" si="21"/>
        <v>57.699999999999996</v>
      </c>
    </row>
    <row r="1350" spans="1:9" x14ac:dyDescent="0.25">
      <c r="A1350">
        <v>1243</v>
      </c>
      <c r="B1350" s="1">
        <v>45448</v>
      </c>
      <c r="C1350">
        <v>307</v>
      </c>
      <c r="D1350">
        <v>35</v>
      </c>
      <c r="E1350">
        <v>3</v>
      </c>
      <c r="F1350">
        <v>5</v>
      </c>
      <c r="G1350" t="s">
        <v>1044</v>
      </c>
      <c r="H1350">
        <f>_xlfn.XLOOKUP(D1350, productos!$A$2:$A$150, productos!$D$2:$D$150, "No Encontrado", 0)</f>
        <v>4.25</v>
      </c>
      <c r="I1350">
        <f t="shared" si="21"/>
        <v>12.75</v>
      </c>
    </row>
    <row r="1351" spans="1:9" x14ac:dyDescent="0.25">
      <c r="A1351">
        <v>1281</v>
      </c>
      <c r="B1351" s="1">
        <v>45448</v>
      </c>
      <c r="C1351">
        <v>223</v>
      </c>
      <c r="D1351">
        <v>9</v>
      </c>
      <c r="E1351">
        <v>2</v>
      </c>
      <c r="F1351">
        <v>5</v>
      </c>
      <c r="G1351" t="s">
        <v>1044</v>
      </c>
      <c r="H1351">
        <f>_xlfn.XLOOKUP(D1351, productos!$A$2:$A$150, productos!$D$2:$D$150, "No Encontrado", 0)</f>
        <v>18.559999999999999</v>
      </c>
      <c r="I1351">
        <f t="shared" si="21"/>
        <v>37.119999999999997</v>
      </c>
    </row>
    <row r="1352" spans="1:9" x14ac:dyDescent="0.25">
      <c r="A1352">
        <v>1563</v>
      </c>
      <c r="B1352" s="1">
        <v>45448</v>
      </c>
      <c r="C1352">
        <v>313</v>
      </c>
      <c r="D1352">
        <v>34</v>
      </c>
      <c r="E1352">
        <v>1</v>
      </c>
      <c r="F1352">
        <v>5</v>
      </c>
      <c r="G1352" t="s">
        <v>1044</v>
      </c>
      <c r="H1352">
        <f>_xlfn.XLOOKUP(D1352, productos!$A$2:$A$150, productos!$D$2:$D$150, "No Encontrado", 0)</f>
        <v>5.45</v>
      </c>
      <c r="I1352">
        <f t="shared" si="21"/>
        <v>5.45</v>
      </c>
    </row>
    <row r="1353" spans="1:9" x14ac:dyDescent="0.25">
      <c r="A1353">
        <v>1857</v>
      </c>
      <c r="B1353" s="1">
        <v>45448</v>
      </c>
      <c r="C1353">
        <v>298</v>
      </c>
      <c r="D1353">
        <v>4</v>
      </c>
      <c r="E1353">
        <v>2</v>
      </c>
      <c r="F1353">
        <v>3</v>
      </c>
      <c r="G1353" t="s">
        <v>1044</v>
      </c>
      <c r="H1353">
        <f>_xlfn.XLOOKUP(D1353, productos!$A$2:$A$150, productos!$D$2:$D$150, "No Encontrado", 0)</f>
        <v>19.23</v>
      </c>
      <c r="I1353">
        <f t="shared" si="21"/>
        <v>38.46</v>
      </c>
    </row>
    <row r="1354" spans="1:9" x14ac:dyDescent="0.25">
      <c r="A1354">
        <v>2151</v>
      </c>
      <c r="B1354" s="1">
        <v>45448</v>
      </c>
      <c r="C1354">
        <v>127</v>
      </c>
      <c r="D1354">
        <v>18</v>
      </c>
      <c r="E1354">
        <v>2</v>
      </c>
      <c r="F1354">
        <v>2</v>
      </c>
      <c r="G1354" t="s">
        <v>1044</v>
      </c>
      <c r="H1354">
        <f>_xlfn.XLOOKUP(D1354, productos!$A$2:$A$150, productos!$D$2:$D$150, "No Encontrado", 0)</f>
        <v>7.25</v>
      </c>
      <c r="I1354">
        <f t="shared" si="21"/>
        <v>14.5</v>
      </c>
    </row>
    <row r="1355" spans="1:9" x14ac:dyDescent="0.25">
      <c r="A1355">
        <v>2153</v>
      </c>
      <c r="B1355" s="1">
        <v>45448</v>
      </c>
      <c r="C1355">
        <v>282</v>
      </c>
      <c r="D1355">
        <v>25</v>
      </c>
      <c r="E1355">
        <v>6</v>
      </c>
      <c r="F1355">
        <v>4</v>
      </c>
      <c r="G1355" t="s">
        <v>1044</v>
      </c>
      <c r="H1355">
        <f>_xlfn.XLOOKUP(D1355, productos!$A$2:$A$150, productos!$D$2:$D$150, "No Encontrado", 0)</f>
        <v>15.45</v>
      </c>
      <c r="I1355">
        <f t="shared" si="21"/>
        <v>92.699999999999989</v>
      </c>
    </row>
    <row r="1356" spans="1:9" x14ac:dyDescent="0.25">
      <c r="A1356">
        <v>2705</v>
      </c>
      <c r="B1356" s="1">
        <v>45448</v>
      </c>
      <c r="C1356">
        <v>305</v>
      </c>
      <c r="D1356">
        <v>23</v>
      </c>
      <c r="E1356">
        <v>5</v>
      </c>
      <c r="F1356">
        <v>4</v>
      </c>
      <c r="G1356" t="s">
        <v>1044</v>
      </c>
      <c r="H1356">
        <f>_xlfn.XLOOKUP(D1356, productos!$A$2:$A$150, productos!$D$2:$D$150, "No Encontrado", 0)</f>
        <v>8.23</v>
      </c>
      <c r="I1356">
        <f t="shared" si="21"/>
        <v>41.150000000000006</v>
      </c>
    </row>
    <row r="1357" spans="1:9" x14ac:dyDescent="0.25">
      <c r="A1357">
        <v>623</v>
      </c>
      <c r="B1357" s="1">
        <v>45449</v>
      </c>
      <c r="C1357">
        <v>86</v>
      </c>
      <c r="D1357">
        <v>14</v>
      </c>
      <c r="E1357">
        <v>1</v>
      </c>
      <c r="F1357">
        <v>3</v>
      </c>
      <c r="G1357" t="s">
        <v>1044</v>
      </c>
      <c r="H1357">
        <f>_xlfn.XLOOKUP(D1357, productos!$A$2:$A$150, productos!$D$2:$D$150, "No Encontrado", 0)</f>
        <v>12.36</v>
      </c>
      <c r="I1357">
        <f t="shared" si="21"/>
        <v>12.36</v>
      </c>
    </row>
    <row r="1358" spans="1:9" x14ac:dyDescent="0.25">
      <c r="A1358">
        <v>739</v>
      </c>
      <c r="B1358" s="1">
        <v>45449</v>
      </c>
      <c r="C1358">
        <v>109</v>
      </c>
      <c r="D1358">
        <v>35</v>
      </c>
      <c r="E1358">
        <v>6</v>
      </c>
      <c r="F1358">
        <v>3</v>
      </c>
      <c r="G1358" t="s">
        <v>1044</v>
      </c>
      <c r="H1358">
        <f>_xlfn.XLOOKUP(D1358, productos!$A$2:$A$150, productos!$D$2:$D$150, "No Encontrado", 0)</f>
        <v>4.25</v>
      </c>
      <c r="I1358">
        <f t="shared" si="21"/>
        <v>25.5</v>
      </c>
    </row>
    <row r="1359" spans="1:9" x14ac:dyDescent="0.25">
      <c r="A1359">
        <v>1386</v>
      </c>
      <c r="B1359" s="1">
        <v>45449</v>
      </c>
      <c r="C1359">
        <v>125</v>
      </c>
      <c r="D1359">
        <v>15</v>
      </c>
      <c r="E1359">
        <v>2</v>
      </c>
      <c r="F1359">
        <v>1</v>
      </c>
      <c r="G1359" t="s">
        <v>1044</v>
      </c>
      <c r="H1359">
        <f>_xlfn.XLOOKUP(D1359, productos!$A$2:$A$150, productos!$D$2:$D$150, "No Encontrado", 0)</f>
        <v>3.51</v>
      </c>
      <c r="I1359">
        <f t="shared" si="21"/>
        <v>7.02</v>
      </c>
    </row>
    <row r="1360" spans="1:9" x14ac:dyDescent="0.25">
      <c r="A1360">
        <v>1434</v>
      </c>
      <c r="B1360" s="1">
        <v>45449</v>
      </c>
      <c r="C1360">
        <v>5</v>
      </c>
      <c r="D1360">
        <v>5</v>
      </c>
      <c r="E1360">
        <v>2</v>
      </c>
      <c r="F1360">
        <v>3</v>
      </c>
      <c r="G1360" t="s">
        <v>1044</v>
      </c>
      <c r="H1360">
        <f>_xlfn.XLOOKUP(D1360, productos!$A$2:$A$150, productos!$D$2:$D$150, "No Encontrado", 0)</f>
        <v>5.65</v>
      </c>
      <c r="I1360">
        <f t="shared" si="21"/>
        <v>11.3</v>
      </c>
    </row>
    <row r="1361" spans="1:9" x14ac:dyDescent="0.25">
      <c r="A1361">
        <v>1966</v>
      </c>
      <c r="B1361" s="1">
        <v>45449</v>
      </c>
      <c r="C1361">
        <v>11</v>
      </c>
      <c r="D1361">
        <v>24</v>
      </c>
      <c r="E1361">
        <v>1</v>
      </c>
      <c r="F1361">
        <v>4</v>
      </c>
      <c r="G1361" t="s">
        <v>1044</v>
      </c>
      <c r="H1361">
        <f>_xlfn.XLOOKUP(D1361, productos!$A$2:$A$150, productos!$D$2:$D$150, "No Encontrado", 0)</f>
        <v>13.54</v>
      </c>
      <c r="I1361">
        <f t="shared" si="21"/>
        <v>13.54</v>
      </c>
    </row>
    <row r="1362" spans="1:9" x14ac:dyDescent="0.25">
      <c r="A1362">
        <v>2002</v>
      </c>
      <c r="B1362" s="1">
        <v>45449</v>
      </c>
      <c r="C1362">
        <v>130</v>
      </c>
      <c r="D1362">
        <v>11</v>
      </c>
      <c r="E1362">
        <v>5</v>
      </c>
      <c r="F1362">
        <v>4</v>
      </c>
      <c r="G1362" t="s">
        <v>1044</v>
      </c>
      <c r="H1362">
        <f>_xlfn.XLOOKUP(D1362, productos!$A$2:$A$150, productos!$D$2:$D$150, "No Encontrado", 0)</f>
        <v>11.23</v>
      </c>
      <c r="I1362">
        <f t="shared" si="21"/>
        <v>56.150000000000006</v>
      </c>
    </row>
    <row r="1363" spans="1:9" x14ac:dyDescent="0.25">
      <c r="A1363">
        <v>2060</v>
      </c>
      <c r="B1363" s="1">
        <v>45449</v>
      </c>
      <c r="C1363">
        <v>194</v>
      </c>
      <c r="D1363">
        <v>7</v>
      </c>
      <c r="E1363">
        <v>6</v>
      </c>
      <c r="F1363">
        <v>4</v>
      </c>
      <c r="G1363" t="s">
        <v>1045</v>
      </c>
      <c r="H1363">
        <f>_xlfn.XLOOKUP(D1363, productos!$A$2:$A$150, productos!$D$2:$D$150, "No Encontrado", 0)</f>
        <v>11.25</v>
      </c>
      <c r="I1363">
        <f t="shared" si="21"/>
        <v>67.5</v>
      </c>
    </row>
    <row r="1364" spans="1:9" x14ac:dyDescent="0.25">
      <c r="A1364">
        <v>2218</v>
      </c>
      <c r="B1364" s="1">
        <v>45449</v>
      </c>
      <c r="C1364">
        <v>209</v>
      </c>
      <c r="D1364">
        <v>24</v>
      </c>
      <c r="E1364">
        <v>3</v>
      </c>
      <c r="F1364">
        <v>3</v>
      </c>
      <c r="G1364" t="s">
        <v>1044</v>
      </c>
      <c r="H1364">
        <f>_xlfn.XLOOKUP(D1364, productos!$A$2:$A$150, productos!$D$2:$D$150, "No Encontrado", 0)</f>
        <v>13.54</v>
      </c>
      <c r="I1364">
        <f t="shared" si="21"/>
        <v>40.619999999999997</v>
      </c>
    </row>
    <row r="1365" spans="1:9" x14ac:dyDescent="0.25">
      <c r="A1365">
        <v>2244</v>
      </c>
      <c r="B1365" s="1">
        <v>45449</v>
      </c>
      <c r="C1365">
        <v>108</v>
      </c>
      <c r="D1365">
        <v>30</v>
      </c>
      <c r="E1365">
        <v>1</v>
      </c>
      <c r="F1365">
        <v>4</v>
      </c>
      <c r="G1365" t="s">
        <v>1045</v>
      </c>
      <c r="H1365">
        <f>_xlfn.XLOOKUP(D1365, productos!$A$2:$A$150, productos!$D$2:$D$150, "No Encontrado", 0)</f>
        <v>13.54</v>
      </c>
      <c r="I1365">
        <f t="shared" si="21"/>
        <v>13.54</v>
      </c>
    </row>
    <row r="1366" spans="1:9" x14ac:dyDescent="0.25">
      <c r="A1366">
        <v>357</v>
      </c>
      <c r="B1366" s="1">
        <v>45450</v>
      </c>
      <c r="C1366">
        <v>52</v>
      </c>
      <c r="D1366">
        <v>9</v>
      </c>
      <c r="E1366">
        <v>4</v>
      </c>
      <c r="F1366">
        <v>1</v>
      </c>
      <c r="G1366" t="s">
        <v>1044</v>
      </c>
      <c r="H1366">
        <f>_xlfn.XLOOKUP(D1366, productos!$A$2:$A$150, productos!$D$2:$D$150, "No Encontrado", 0)</f>
        <v>18.559999999999999</v>
      </c>
      <c r="I1366">
        <f t="shared" si="21"/>
        <v>74.239999999999995</v>
      </c>
    </row>
    <row r="1367" spans="1:9" x14ac:dyDescent="0.25">
      <c r="A1367">
        <v>1035</v>
      </c>
      <c r="B1367" s="1">
        <v>45450</v>
      </c>
      <c r="C1367">
        <v>249</v>
      </c>
      <c r="D1367">
        <v>20</v>
      </c>
      <c r="E1367">
        <v>1</v>
      </c>
      <c r="F1367">
        <v>3</v>
      </c>
      <c r="G1367" t="s">
        <v>1044</v>
      </c>
      <c r="H1367">
        <f>_xlfn.XLOOKUP(D1367, productos!$A$2:$A$150, productos!$D$2:$D$150, "No Encontrado", 0)</f>
        <v>4.25</v>
      </c>
      <c r="I1367">
        <f t="shared" si="21"/>
        <v>4.25</v>
      </c>
    </row>
    <row r="1368" spans="1:9" x14ac:dyDescent="0.25">
      <c r="A1368">
        <v>1040</v>
      </c>
      <c r="B1368" s="1">
        <v>45450</v>
      </c>
      <c r="C1368">
        <v>298</v>
      </c>
      <c r="D1368">
        <v>18</v>
      </c>
      <c r="E1368">
        <v>6</v>
      </c>
      <c r="F1368">
        <v>4</v>
      </c>
      <c r="G1368" t="s">
        <v>1044</v>
      </c>
      <c r="H1368">
        <f>_xlfn.XLOOKUP(D1368, productos!$A$2:$A$150, productos!$D$2:$D$150, "No Encontrado", 0)</f>
        <v>7.25</v>
      </c>
      <c r="I1368">
        <f t="shared" si="21"/>
        <v>43.5</v>
      </c>
    </row>
    <row r="1369" spans="1:9" x14ac:dyDescent="0.25">
      <c r="A1369">
        <v>1165</v>
      </c>
      <c r="B1369" s="1">
        <v>45450</v>
      </c>
      <c r="C1369">
        <v>30</v>
      </c>
      <c r="D1369">
        <v>13</v>
      </c>
      <c r="E1369">
        <v>5</v>
      </c>
      <c r="F1369">
        <v>5</v>
      </c>
      <c r="G1369" t="s">
        <v>1045</v>
      </c>
      <c r="H1369">
        <f>_xlfn.XLOOKUP(D1369, productos!$A$2:$A$150, productos!$D$2:$D$150, "No Encontrado", 0)</f>
        <v>12.56</v>
      </c>
      <c r="I1369">
        <f t="shared" si="21"/>
        <v>62.800000000000004</v>
      </c>
    </row>
    <row r="1370" spans="1:9" x14ac:dyDescent="0.25">
      <c r="A1370">
        <v>1182</v>
      </c>
      <c r="B1370" s="1">
        <v>45450</v>
      </c>
      <c r="C1370">
        <v>169</v>
      </c>
      <c r="D1370">
        <v>15</v>
      </c>
      <c r="E1370">
        <v>2</v>
      </c>
      <c r="F1370">
        <v>1</v>
      </c>
      <c r="G1370" t="s">
        <v>1044</v>
      </c>
      <c r="H1370">
        <f>_xlfn.XLOOKUP(D1370, productos!$A$2:$A$150, productos!$D$2:$D$150, "No Encontrado", 0)</f>
        <v>3.51</v>
      </c>
      <c r="I1370">
        <f t="shared" si="21"/>
        <v>7.02</v>
      </c>
    </row>
    <row r="1371" spans="1:9" x14ac:dyDescent="0.25">
      <c r="A1371">
        <v>1805</v>
      </c>
      <c r="B1371" s="1">
        <v>45450</v>
      </c>
      <c r="C1371">
        <v>290</v>
      </c>
      <c r="D1371">
        <v>31</v>
      </c>
      <c r="E1371">
        <v>2</v>
      </c>
      <c r="F1371">
        <v>3</v>
      </c>
      <c r="G1371" t="s">
        <v>1045</v>
      </c>
      <c r="H1371">
        <f>_xlfn.XLOOKUP(D1371, productos!$A$2:$A$150, productos!$D$2:$D$150, "No Encontrado", 0)</f>
        <v>5.24</v>
      </c>
      <c r="I1371">
        <f t="shared" si="21"/>
        <v>10.48</v>
      </c>
    </row>
    <row r="1372" spans="1:9" x14ac:dyDescent="0.25">
      <c r="A1372">
        <v>2022</v>
      </c>
      <c r="B1372" s="1">
        <v>45450</v>
      </c>
      <c r="C1372">
        <v>211</v>
      </c>
      <c r="D1372">
        <v>30</v>
      </c>
      <c r="E1372">
        <v>3</v>
      </c>
      <c r="F1372">
        <v>5</v>
      </c>
      <c r="G1372" t="s">
        <v>1044</v>
      </c>
      <c r="H1372">
        <f>_xlfn.XLOOKUP(D1372, productos!$A$2:$A$150, productos!$D$2:$D$150, "No Encontrado", 0)</f>
        <v>13.54</v>
      </c>
      <c r="I1372">
        <f t="shared" si="21"/>
        <v>40.619999999999997</v>
      </c>
    </row>
    <row r="1373" spans="1:9" x14ac:dyDescent="0.25">
      <c r="A1373">
        <v>2082</v>
      </c>
      <c r="B1373" s="1">
        <v>45450</v>
      </c>
      <c r="C1373">
        <v>169</v>
      </c>
      <c r="D1373">
        <v>19</v>
      </c>
      <c r="E1373">
        <v>2</v>
      </c>
      <c r="F1373">
        <v>4</v>
      </c>
      <c r="G1373" t="s">
        <v>1044</v>
      </c>
      <c r="H1373">
        <f>_xlfn.XLOOKUP(D1373, productos!$A$2:$A$150, productos!$D$2:$D$150, "No Encontrado", 0)</f>
        <v>6.54</v>
      </c>
      <c r="I1373">
        <f t="shared" si="21"/>
        <v>13.08</v>
      </c>
    </row>
    <row r="1374" spans="1:9" x14ac:dyDescent="0.25">
      <c r="A1374">
        <v>2376</v>
      </c>
      <c r="B1374" s="1">
        <v>45450</v>
      </c>
      <c r="C1374">
        <v>168</v>
      </c>
      <c r="D1374">
        <v>21</v>
      </c>
      <c r="E1374">
        <v>4</v>
      </c>
      <c r="F1374">
        <v>3</v>
      </c>
      <c r="G1374" t="s">
        <v>1044</v>
      </c>
      <c r="H1374">
        <f>_xlfn.XLOOKUP(D1374, productos!$A$2:$A$150, productos!$D$2:$D$150, "No Encontrado", 0)</f>
        <v>3.25</v>
      </c>
      <c r="I1374">
        <f t="shared" si="21"/>
        <v>13</v>
      </c>
    </row>
    <row r="1375" spans="1:9" x14ac:dyDescent="0.25">
      <c r="A1375">
        <v>2655</v>
      </c>
      <c r="B1375" s="1">
        <v>45450</v>
      </c>
      <c r="C1375">
        <v>176</v>
      </c>
      <c r="D1375">
        <v>18</v>
      </c>
      <c r="E1375">
        <v>1</v>
      </c>
      <c r="F1375">
        <v>2</v>
      </c>
      <c r="G1375" t="s">
        <v>1044</v>
      </c>
      <c r="H1375">
        <f>_xlfn.XLOOKUP(D1375, productos!$A$2:$A$150, productos!$D$2:$D$150, "No Encontrado", 0)</f>
        <v>7.25</v>
      </c>
      <c r="I1375">
        <f t="shared" si="21"/>
        <v>7.25</v>
      </c>
    </row>
    <row r="1376" spans="1:9" x14ac:dyDescent="0.25">
      <c r="A1376">
        <v>2855</v>
      </c>
      <c r="B1376" s="1">
        <v>45450</v>
      </c>
      <c r="C1376">
        <v>53</v>
      </c>
      <c r="D1376">
        <v>7</v>
      </c>
      <c r="E1376">
        <v>5</v>
      </c>
      <c r="F1376">
        <v>5</v>
      </c>
      <c r="G1376" t="s">
        <v>1044</v>
      </c>
      <c r="H1376">
        <f>_xlfn.XLOOKUP(D1376, productos!$A$2:$A$150, productos!$D$2:$D$150, "No Encontrado", 0)</f>
        <v>11.25</v>
      </c>
      <c r="I1376">
        <f t="shared" si="21"/>
        <v>56.25</v>
      </c>
    </row>
    <row r="1377" spans="1:9" x14ac:dyDescent="0.25">
      <c r="A1377">
        <v>495</v>
      </c>
      <c r="B1377" s="1">
        <v>45451</v>
      </c>
      <c r="C1377">
        <v>153</v>
      </c>
      <c r="D1377">
        <v>35</v>
      </c>
      <c r="E1377">
        <v>5</v>
      </c>
      <c r="F1377">
        <v>1</v>
      </c>
      <c r="G1377" t="s">
        <v>1044</v>
      </c>
      <c r="H1377">
        <f>_xlfn.XLOOKUP(D1377, productos!$A$2:$A$150, productos!$D$2:$D$150, "No Encontrado", 0)</f>
        <v>4.25</v>
      </c>
      <c r="I1377">
        <f t="shared" si="21"/>
        <v>21.25</v>
      </c>
    </row>
    <row r="1378" spans="1:9" x14ac:dyDescent="0.25">
      <c r="A1378">
        <v>1010</v>
      </c>
      <c r="B1378" s="1">
        <v>45451</v>
      </c>
      <c r="C1378">
        <v>90</v>
      </c>
      <c r="D1378">
        <v>15</v>
      </c>
      <c r="E1378">
        <v>4</v>
      </c>
      <c r="F1378">
        <v>5</v>
      </c>
      <c r="G1378" t="s">
        <v>1044</v>
      </c>
      <c r="H1378">
        <f>_xlfn.XLOOKUP(D1378, productos!$A$2:$A$150, productos!$D$2:$D$150, "No Encontrado", 0)</f>
        <v>3.51</v>
      </c>
      <c r="I1378">
        <f t="shared" si="21"/>
        <v>14.04</v>
      </c>
    </row>
    <row r="1379" spans="1:9" x14ac:dyDescent="0.25">
      <c r="A1379">
        <v>1343</v>
      </c>
      <c r="B1379" s="1">
        <v>45451</v>
      </c>
      <c r="C1379">
        <v>288</v>
      </c>
      <c r="D1379">
        <v>28</v>
      </c>
      <c r="E1379">
        <v>1</v>
      </c>
      <c r="F1379">
        <v>3</v>
      </c>
      <c r="G1379" t="s">
        <v>1044</v>
      </c>
      <c r="H1379">
        <f>_xlfn.XLOOKUP(D1379, productos!$A$2:$A$150, productos!$D$2:$D$150, "No Encontrado", 0)</f>
        <v>9.4499999999999993</v>
      </c>
      <c r="I1379">
        <f t="shared" si="21"/>
        <v>9.4499999999999993</v>
      </c>
    </row>
    <row r="1380" spans="1:9" x14ac:dyDescent="0.25">
      <c r="A1380">
        <v>1394</v>
      </c>
      <c r="B1380" s="1">
        <v>45451</v>
      </c>
      <c r="C1380">
        <v>245</v>
      </c>
      <c r="D1380">
        <v>20</v>
      </c>
      <c r="E1380">
        <v>4</v>
      </c>
      <c r="F1380">
        <v>4</v>
      </c>
      <c r="G1380" t="s">
        <v>1044</v>
      </c>
      <c r="H1380">
        <f>_xlfn.XLOOKUP(D1380, productos!$A$2:$A$150, productos!$D$2:$D$150, "No Encontrado", 0)</f>
        <v>4.25</v>
      </c>
      <c r="I1380">
        <f t="shared" si="21"/>
        <v>17</v>
      </c>
    </row>
    <row r="1381" spans="1:9" x14ac:dyDescent="0.25">
      <c r="A1381">
        <v>1775</v>
      </c>
      <c r="B1381" s="1">
        <v>45451</v>
      </c>
      <c r="C1381">
        <v>126</v>
      </c>
      <c r="D1381">
        <v>21</v>
      </c>
      <c r="E1381">
        <v>1</v>
      </c>
      <c r="F1381">
        <v>3</v>
      </c>
      <c r="G1381" t="s">
        <v>1044</v>
      </c>
      <c r="H1381">
        <f>_xlfn.XLOOKUP(D1381, productos!$A$2:$A$150, productos!$D$2:$D$150, "No Encontrado", 0)</f>
        <v>3.25</v>
      </c>
      <c r="I1381">
        <f t="shared" si="21"/>
        <v>3.25</v>
      </c>
    </row>
    <row r="1382" spans="1:9" x14ac:dyDescent="0.25">
      <c r="A1382">
        <v>1787</v>
      </c>
      <c r="B1382" s="1">
        <v>45451</v>
      </c>
      <c r="C1382">
        <v>203</v>
      </c>
      <c r="D1382">
        <v>22</v>
      </c>
      <c r="E1382">
        <v>5</v>
      </c>
      <c r="F1382">
        <v>5</v>
      </c>
      <c r="G1382" t="s">
        <v>1044</v>
      </c>
      <c r="H1382">
        <f>_xlfn.XLOOKUP(D1382, productos!$A$2:$A$150, productos!$D$2:$D$150, "No Encontrado", 0)</f>
        <v>4.21</v>
      </c>
      <c r="I1382">
        <f t="shared" si="21"/>
        <v>21.05</v>
      </c>
    </row>
    <row r="1383" spans="1:9" x14ac:dyDescent="0.25">
      <c r="A1383">
        <v>1924</v>
      </c>
      <c r="B1383" s="1">
        <v>45451</v>
      </c>
      <c r="C1383">
        <v>8</v>
      </c>
      <c r="D1383">
        <v>26</v>
      </c>
      <c r="E1383">
        <v>6</v>
      </c>
      <c r="F1383">
        <v>5</v>
      </c>
      <c r="G1383" t="s">
        <v>1045</v>
      </c>
      <c r="H1383">
        <f>_xlfn.XLOOKUP(D1383, productos!$A$2:$A$150, productos!$D$2:$D$150, "No Encontrado", 0)</f>
        <v>9.5399999999999991</v>
      </c>
      <c r="I1383">
        <f t="shared" si="21"/>
        <v>57.239999999999995</v>
      </c>
    </row>
    <row r="1384" spans="1:9" x14ac:dyDescent="0.25">
      <c r="A1384">
        <v>2009</v>
      </c>
      <c r="B1384" s="1">
        <v>45451</v>
      </c>
      <c r="C1384">
        <v>238</v>
      </c>
      <c r="D1384">
        <v>30</v>
      </c>
      <c r="E1384">
        <v>5</v>
      </c>
      <c r="F1384">
        <v>5</v>
      </c>
      <c r="G1384" t="s">
        <v>1044</v>
      </c>
      <c r="H1384">
        <f>_xlfn.XLOOKUP(D1384, productos!$A$2:$A$150, productos!$D$2:$D$150, "No Encontrado", 0)</f>
        <v>13.54</v>
      </c>
      <c r="I1384">
        <f t="shared" si="21"/>
        <v>67.699999999999989</v>
      </c>
    </row>
    <row r="1385" spans="1:9" x14ac:dyDescent="0.25">
      <c r="A1385">
        <v>370</v>
      </c>
      <c r="B1385" s="1">
        <v>45452</v>
      </c>
      <c r="C1385">
        <v>194</v>
      </c>
      <c r="D1385">
        <v>21</v>
      </c>
      <c r="E1385">
        <v>4</v>
      </c>
      <c r="F1385">
        <v>5</v>
      </c>
      <c r="G1385" t="s">
        <v>1044</v>
      </c>
      <c r="H1385">
        <f>_xlfn.XLOOKUP(D1385, productos!$A$2:$A$150, productos!$D$2:$D$150, "No Encontrado", 0)</f>
        <v>3.25</v>
      </c>
      <c r="I1385">
        <f t="shared" si="21"/>
        <v>13</v>
      </c>
    </row>
    <row r="1386" spans="1:9" x14ac:dyDescent="0.25">
      <c r="A1386">
        <v>1671</v>
      </c>
      <c r="B1386" s="1">
        <v>45452</v>
      </c>
      <c r="C1386">
        <v>304</v>
      </c>
      <c r="D1386">
        <v>22</v>
      </c>
      <c r="E1386">
        <v>6</v>
      </c>
      <c r="F1386">
        <v>5</v>
      </c>
      <c r="G1386" t="s">
        <v>1044</v>
      </c>
      <c r="H1386">
        <f>_xlfn.XLOOKUP(D1386, productos!$A$2:$A$150, productos!$D$2:$D$150, "No Encontrado", 0)</f>
        <v>4.21</v>
      </c>
      <c r="I1386">
        <f t="shared" si="21"/>
        <v>25.259999999999998</v>
      </c>
    </row>
    <row r="1387" spans="1:9" x14ac:dyDescent="0.25">
      <c r="A1387">
        <v>1780</v>
      </c>
      <c r="B1387" s="1">
        <v>45452</v>
      </c>
      <c r="C1387">
        <v>40</v>
      </c>
      <c r="D1387">
        <v>23</v>
      </c>
      <c r="E1387">
        <v>3</v>
      </c>
      <c r="F1387">
        <v>4</v>
      </c>
      <c r="G1387" t="s">
        <v>1044</v>
      </c>
      <c r="H1387">
        <f>_xlfn.XLOOKUP(D1387, productos!$A$2:$A$150, productos!$D$2:$D$150, "No Encontrado", 0)</f>
        <v>8.23</v>
      </c>
      <c r="I1387">
        <f t="shared" si="21"/>
        <v>24.69</v>
      </c>
    </row>
    <row r="1388" spans="1:9" x14ac:dyDescent="0.25">
      <c r="A1388">
        <v>2017</v>
      </c>
      <c r="B1388" s="1">
        <v>45452</v>
      </c>
      <c r="C1388">
        <v>226</v>
      </c>
      <c r="D1388">
        <v>7</v>
      </c>
      <c r="E1388">
        <v>6</v>
      </c>
      <c r="F1388">
        <v>5</v>
      </c>
      <c r="G1388" t="s">
        <v>1044</v>
      </c>
      <c r="H1388">
        <f>_xlfn.XLOOKUP(D1388, productos!$A$2:$A$150, productos!$D$2:$D$150, "No Encontrado", 0)</f>
        <v>11.25</v>
      </c>
      <c r="I1388">
        <f t="shared" si="21"/>
        <v>67.5</v>
      </c>
    </row>
    <row r="1389" spans="1:9" x14ac:dyDescent="0.25">
      <c r="A1389">
        <v>2116</v>
      </c>
      <c r="B1389" s="1">
        <v>45452</v>
      </c>
      <c r="C1389">
        <v>187</v>
      </c>
      <c r="D1389">
        <v>20</v>
      </c>
      <c r="E1389">
        <v>4</v>
      </c>
      <c r="F1389">
        <v>5</v>
      </c>
      <c r="G1389" t="s">
        <v>1044</v>
      </c>
      <c r="H1389">
        <f>_xlfn.XLOOKUP(D1389, productos!$A$2:$A$150, productos!$D$2:$D$150, "No Encontrado", 0)</f>
        <v>4.25</v>
      </c>
      <c r="I1389">
        <f t="shared" si="21"/>
        <v>17</v>
      </c>
    </row>
    <row r="1390" spans="1:9" x14ac:dyDescent="0.25">
      <c r="A1390">
        <v>2186</v>
      </c>
      <c r="B1390" s="1">
        <v>45452</v>
      </c>
      <c r="C1390">
        <v>234</v>
      </c>
      <c r="D1390">
        <v>13</v>
      </c>
      <c r="E1390">
        <v>3</v>
      </c>
      <c r="F1390">
        <v>1</v>
      </c>
      <c r="G1390" t="s">
        <v>1045</v>
      </c>
      <c r="H1390">
        <f>_xlfn.XLOOKUP(D1390, productos!$A$2:$A$150, productos!$D$2:$D$150, "No Encontrado", 0)</f>
        <v>12.56</v>
      </c>
      <c r="I1390">
        <f t="shared" si="21"/>
        <v>37.68</v>
      </c>
    </row>
    <row r="1391" spans="1:9" x14ac:dyDescent="0.25">
      <c r="A1391">
        <v>2405</v>
      </c>
      <c r="B1391" s="1">
        <v>45452</v>
      </c>
      <c r="C1391">
        <v>77</v>
      </c>
      <c r="D1391">
        <v>28</v>
      </c>
      <c r="E1391">
        <v>2</v>
      </c>
      <c r="F1391">
        <v>1</v>
      </c>
      <c r="G1391" t="s">
        <v>1044</v>
      </c>
      <c r="H1391">
        <f>_xlfn.XLOOKUP(D1391, productos!$A$2:$A$150, productos!$D$2:$D$150, "No Encontrado", 0)</f>
        <v>9.4499999999999993</v>
      </c>
      <c r="I1391">
        <f t="shared" si="21"/>
        <v>18.899999999999999</v>
      </c>
    </row>
    <row r="1392" spans="1:9" x14ac:dyDescent="0.25">
      <c r="A1392">
        <v>2450</v>
      </c>
      <c r="B1392" s="1">
        <v>45452</v>
      </c>
      <c r="C1392">
        <v>49</v>
      </c>
      <c r="D1392">
        <v>3</v>
      </c>
      <c r="E1392">
        <v>6</v>
      </c>
      <c r="F1392">
        <v>5</v>
      </c>
      <c r="G1392" t="s">
        <v>1044</v>
      </c>
      <c r="H1392">
        <f>_xlfn.XLOOKUP(D1392, productos!$A$2:$A$150, productos!$D$2:$D$150, "No Encontrado", 0)</f>
        <v>17.23</v>
      </c>
      <c r="I1392">
        <f t="shared" si="21"/>
        <v>103.38</v>
      </c>
    </row>
    <row r="1393" spans="1:9" x14ac:dyDescent="0.25">
      <c r="A1393">
        <v>2654</v>
      </c>
      <c r="B1393" s="1">
        <v>45452</v>
      </c>
      <c r="C1393">
        <v>224</v>
      </c>
      <c r="D1393">
        <v>14</v>
      </c>
      <c r="E1393">
        <v>3</v>
      </c>
      <c r="F1393">
        <v>2</v>
      </c>
      <c r="G1393" t="s">
        <v>1045</v>
      </c>
      <c r="H1393">
        <f>_xlfn.XLOOKUP(D1393, productos!$A$2:$A$150, productos!$D$2:$D$150, "No Encontrado", 0)</f>
        <v>12.36</v>
      </c>
      <c r="I1393">
        <f t="shared" si="21"/>
        <v>37.08</v>
      </c>
    </row>
    <row r="1394" spans="1:9" x14ac:dyDescent="0.25">
      <c r="A1394">
        <v>2648</v>
      </c>
      <c r="B1394" s="1">
        <v>45453</v>
      </c>
      <c r="C1394">
        <v>299</v>
      </c>
      <c r="D1394">
        <v>31</v>
      </c>
      <c r="E1394">
        <v>1</v>
      </c>
      <c r="F1394">
        <v>1</v>
      </c>
      <c r="G1394" t="s">
        <v>1044</v>
      </c>
      <c r="H1394">
        <f>_xlfn.XLOOKUP(D1394, productos!$A$2:$A$150, productos!$D$2:$D$150, "No Encontrado", 0)</f>
        <v>5.24</v>
      </c>
      <c r="I1394">
        <f t="shared" si="21"/>
        <v>5.24</v>
      </c>
    </row>
    <row r="1395" spans="1:9" x14ac:dyDescent="0.25">
      <c r="A1395">
        <v>2653</v>
      </c>
      <c r="B1395" s="1">
        <v>45453</v>
      </c>
      <c r="C1395">
        <v>255</v>
      </c>
      <c r="D1395">
        <v>8</v>
      </c>
      <c r="E1395">
        <v>1</v>
      </c>
      <c r="F1395">
        <v>2</v>
      </c>
      <c r="G1395" t="s">
        <v>1045</v>
      </c>
      <c r="H1395">
        <f>_xlfn.XLOOKUP(D1395, productos!$A$2:$A$150, productos!$D$2:$D$150, "No Encontrado", 0)</f>
        <v>16.21</v>
      </c>
      <c r="I1395">
        <f t="shared" si="21"/>
        <v>16.21</v>
      </c>
    </row>
    <row r="1396" spans="1:9" x14ac:dyDescent="0.25">
      <c r="A1396">
        <v>2657</v>
      </c>
      <c r="B1396" s="1">
        <v>45453</v>
      </c>
      <c r="C1396">
        <v>171</v>
      </c>
      <c r="D1396">
        <v>12</v>
      </c>
      <c r="E1396">
        <v>1</v>
      </c>
      <c r="F1396">
        <v>4</v>
      </c>
      <c r="G1396" t="s">
        <v>1044</v>
      </c>
      <c r="H1396">
        <f>_xlfn.XLOOKUP(D1396, productos!$A$2:$A$150, productos!$D$2:$D$150, "No Encontrado", 0)</f>
        <v>8.1199999999999992</v>
      </c>
      <c r="I1396">
        <f t="shared" si="21"/>
        <v>8.1199999999999992</v>
      </c>
    </row>
    <row r="1397" spans="1:9" x14ac:dyDescent="0.25">
      <c r="A1397">
        <v>959</v>
      </c>
      <c r="B1397" s="1">
        <v>45454</v>
      </c>
      <c r="C1397">
        <v>66</v>
      </c>
      <c r="D1397">
        <v>26</v>
      </c>
      <c r="E1397">
        <v>1</v>
      </c>
      <c r="F1397">
        <v>1</v>
      </c>
      <c r="G1397" t="s">
        <v>1044</v>
      </c>
      <c r="H1397">
        <f>_xlfn.XLOOKUP(D1397, productos!$A$2:$A$150, productos!$D$2:$D$150, "No Encontrado", 0)</f>
        <v>9.5399999999999991</v>
      </c>
      <c r="I1397">
        <f t="shared" si="21"/>
        <v>9.5399999999999991</v>
      </c>
    </row>
    <row r="1398" spans="1:9" x14ac:dyDescent="0.25">
      <c r="A1398">
        <v>967</v>
      </c>
      <c r="B1398" s="1">
        <v>45454</v>
      </c>
      <c r="C1398">
        <v>55</v>
      </c>
      <c r="D1398">
        <v>29</v>
      </c>
      <c r="E1398">
        <v>4</v>
      </c>
      <c r="F1398">
        <v>5</v>
      </c>
      <c r="G1398" t="s">
        <v>1044</v>
      </c>
      <c r="H1398">
        <f>_xlfn.XLOOKUP(D1398, productos!$A$2:$A$150, productos!$D$2:$D$150, "No Encontrado", 0)</f>
        <v>11.54</v>
      </c>
      <c r="I1398">
        <f t="shared" si="21"/>
        <v>46.16</v>
      </c>
    </row>
    <row r="1399" spans="1:9" x14ac:dyDescent="0.25">
      <c r="A1399">
        <v>1375</v>
      </c>
      <c r="B1399" s="1">
        <v>45454</v>
      </c>
      <c r="C1399">
        <v>49</v>
      </c>
      <c r="D1399">
        <v>4</v>
      </c>
      <c r="E1399">
        <v>3</v>
      </c>
      <c r="F1399">
        <v>4</v>
      </c>
      <c r="G1399" t="s">
        <v>1044</v>
      </c>
      <c r="H1399">
        <f>_xlfn.XLOOKUP(D1399, productos!$A$2:$A$150, productos!$D$2:$D$150, "No Encontrado", 0)</f>
        <v>19.23</v>
      </c>
      <c r="I1399">
        <f t="shared" si="21"/>
        <v>57.69</v>
      </c>
    </row>
    <row r="1400" spans="1:9" x14ac:dyDescent="0.25">
      <c r="A1400">
        <v>1757</v>
      </c>
      <c r="B1400" s="1">
        <v>45454</v>
      </c>
      <c r="C1400">
        <v>272</v>
      </c>
      <c r="D1400">
        <v>18</v>
      </c>
      <c r="E1400">
        <v>1</v>
      </c>
      <c r="F1400">
        <v>3</v>
      </c>
      <c r="G1400" t="s">
        <v>1044</v>
      </c>
      <c r="H1400">
        <f>_xlfn.XLOOKUP(D1400, productos!$A$2:$A$150, productos!$D$2:$D$150, "No Encontrado", 0)</f>
        <v>7.25</v>
      </c>
      <c r="I1400">
        <f t="shared" si="21"/>
        <v>7.25</v>
      </c>
    </row>
    <row r="1401" spans="1:9" x14ac:dyDescent="0.25">
      <c r="A1401">
        <v>2437</v>
      </c>
      <c r="B1401" s="1">
        <v>45454</v>
      </c>
      <c r="C1401">
        <v>139</v>
      </c>
      <c r="D1401">
        <v>28</v>
      </c>
      <c r="E1401">
        <v>3</v>
      </c>
      <c r="F1401">
        <v>5</v>
      </c>
      <c r="G1401" t="s">
        <v>1044</v>
      </c>
      <c r="H1401">
        <f>_xlfn.XLOOKUP(D1401, productos!$A$2:$A$150, productos!$D$2:$D$150, "No Encontrado", 0)</f>
        <v>9.4499999999999993</v>
      </c>
      <c r="I1401">
        <f t="shared" si="21"/>
        <v>28.349999999999998</v>
      </c>
    </row>
    <row r="1402" spans="1:9" x14ac:dyDescent="0.25">
      <c r="A1402">
        <v>2447</v>
      </c>
      <c r="B1402" s="1">
        <v>45454</v>
      </c>
      <c r="C1402">
        <v>53</v>
      </c>
      <c r="D1402">
        <v>18</v>
      </c>
      <c r="E1402">
        <v>1</v>
      </c>
      <c r="F1402">
        <v>5</v>
      </c>
      <c r="G1402" t="s">
        <v>1044</v>
      </c>
      <c r="H1402">
        <f>_xlfn.XLOOKUP(D1402, productos!$A$2:$A$150, productos!$D$2:$D$150, "No Encontrado", 0)</f>
        <v>7.25</v>
      </c>
      <c r="I1402">
        <f t="shared" si="21"/>
        <v>7.25</v>
      </c>
    </row>
    <row r="1403" spans="1:9" x14ac:dyDescent="0.25">
      <c r="A1403">
        <v>2484</v>
      </c>
      <c r="B1403" s="1">
        <v>45454</v>
      </c>
      <c r="C1403">
        <v>151</v>
      </c>
      <c r="D1403">
        <v>28</v>
      </c>
      <c r="E1403">
        <v>1</v>
      </c>
      <c r="F1403">
        <v>2</v>
      </c>
      <c r="G1403" t="s">
        <v>1044</v>
      </c>
      <c r="H1403">
        <f>_xlfn.XLOOKUP(D1403, productos!$A$2:$A$150, productos!$D$2:$D$150, "No Encontrado", 0)</f>
        <v>9.4499999999999993</v>
      </c>
      <c r="I1403">
        <f t="shared" si="21"/>
        <v>9.4499999999999993</v>
      </c>
    </row>
    <row r="1404" spans="1:9" x14ac:dyDescent="0.25">
      <c r="A1404">
        <v>2586</v>
      </c>
      <c r="B1404" s="1">
        <v>45454</v>
      </c>
      <c r="C1404">
        <v>184</v>
      </c>
      <c r="D1404">
        <v>11</v>
      </c>
      <c r="E1404">
        <v>2</v>
      </c>
      <c r="F1404">
        <v>4</v>
      </c>
      <c r="G1404" t="s">
        <v>1044</v>
      </c>
      <c r="H1404">
        <f>_xlfn.XLOOKUP(D1404, productos!$A$2:$A$150, productos!$D$2:$D$150, "No Encontrado", 0)</f>
        <v>11.23</v>
      </c>
      <c r="I1404">
        <f t="shared" si="21"/>
        <v>22.46</v>
      </c>
    </row>
    <row r="1405" spans="1:9" x14ac:dyDescent="0.25">
      <c r="A1405">
        <v>2967</v>
      </c>
      <c r="B1405" s="1">
        <v>45454</v>
      </c>
      <c r="C1405">
        <v>234</v>
      </c>
      <c r="D1405">
        <v>17</v>
      </c>
      <c r="E1405">
        <v>5</v>
      </c>
      <c r="F1405">
        <v>4</v>
      </c>
      <c r="G1405" t="s">
        <v>1044</v>
      </c>
      <c r="H1405">
        <f>_xlfn.XLOOKUP(D1405, productos!$A$2:$A$150, productos!$D$2:$D$150, "No Encontrado", 0)</f>
        <v>6.54</v>
      </c>
      <c r="I1405">
        <f t="shared" si="21"/>
        <v>32.700000000000003</v>
      </c>
    </row>
    <row r="1406" spans="1:9" x14ac:dyDescent="0.25">
      <c r="A1406">
        <v>597</v>
      </c>
      <c r="B1406" s="1">
        <v>45455</v>
      </c>
      <c r="C1406">
        <v>250</v>
      </c>
      <c r="D1406">
        <v>10</v>
      </c>
      <c r="E1406">
        <v>6</v>
      </c>
      <c r="F1406">
        <v>5</v>
      </c>
      <c r="G1406" t="s">
        <v>1044</v>
      </c>
      <c r="H1406">
        <f>_xlfn.XLOOKUP(D1406, productos!$A$2:$A$150, productos!$D$2:$D$150, "No Encontrado", 0)</f>
        <v>14.25</v>
      </c>
      <c r="I1406">
        <f t="shared" si="21"/>
        <v>85.5</v>
      </c>
    </row>
    <row r="1407" spans="1:9" x14ac:dyDescent="0.25">
      <c r="A1407">
        <v>774</v>
      </c>
      <c r="B1407" s="1">
        <v>45455</v>
      </c>
      <c r="C1407">
        <v>148</v>
      </c>
      <c r="D1407">
        <v>5</v>
      </c>
      <c r="E1407">
        <v>4</v>
      </c>
      <c r="F1407">
        <v>4</v>
      </c>
      <c r="G1407" t="s">
        <v>1044</v>
      </c>
      <c r="H1407">
        <f>_xlfn.XLOOKUP(D1407, productos!$A$2:$A$150, productos!$D$2:$D$150, "No Encontrado", 0)</f>
        <v>5.65</v>
      </c>
      <c r="I1407">
        <f t="shared" si="21"/>
        <v>22.6</v>
      </c>
    </row>
    <row r="1408" spans="1:9" x14ac:dyDescent="0.25">
      <c r="A1408">
        <v>969</v>
      </c>
      <c r="B1408" s="1">
        <v>45455</v>
      </c>
      <c r="C1408">
        <v>118</v>
      </c>
      <c r="D1408">
        <v>37</v>
      </c>
      <c r="E1408">
        <v>2</v>
      </c>
      <c r="F1408">
        <v>4</v>
      </c>
      <c r="G1408" t="s">
        <v>1045</v>
      </c>
      <c r="H1408">
        <f>_xlfn.XLOOKUP(D1408, productos!$A$2:$A$150, productos!$D$2:$D$150, "No Encontrado", 0)</f>
        <v>3.65</v>
      </c>
      <c r="I1408">
        <f t="shared" si="21"/>
        <v>7.3</v>
      </c>
    </row>
    <row r="1409" spans="1:9" x14ac:dyDescent="0.25">
      <c r="A1409">
        <v>1135</v>
      </c>
      <c r="B1409" s="1">
        <v>45455</v>
      </c>
      <c r="C1409">
        <v>86</v>
      </c>
      <c r="D1409">
        <v>9</v>
      </c>
      <c r="E1409">
        <v>5</v>
      </c>
      <c r="F1409">
        <v>2</v>
      </c>
      <c r="G1409" t="s">
        <v>1044</v>
      </c>
      <c r="H1409">
        <f>_xlfn.XLOOKUP(D1409, productos!$A$2:$A$150, productos!$D$2:$D$150, "No Encontrado", 0)</f>
        <v>18.559999999999999</v>
      </c>
      <c r="I1409">
        <f t="shared" si="21"/>
        <v>92.8</v>
      </c>
    </row>
    <row r="1410" spans="1:9" x14ac:dyDescent="0.25">
      <c r="A1410">
        <v>1323</v>
      </c>
      <c r="B1410" s="1">
        <v>45455</v>
      </c>
      <c r="C1410">
        <v>106</v>
      </c>
      <c r="D1410">
        <v>16</v>
      </c>
      <c r="E1410">
        <v>3</v>
      </c>
      <c r="F1410">
        <v>5</v>
      </c>
      <c r="G1410" t="s">
        <v>1044</v>
      </c>
      <c r="H1410">
        <f>_xlfn.XLOOKUP(D1410, productos!$A$2:$A$150, productos!$D$2:$D$150, "No Encontrado", 0)</f>
        <v>15.23</v>
      </c>
      <c r="I1410">
        <f t="shared" si="21"/>
        <v>45.69</v>
      </c>
    </row>
    <row r="1411" spans="1:9" x14ac:dyDescent="0.25">
      <c r="A1411">
        <v>1425</v>
      </c>
      <c r="B1411" s="1">
        <v>45455</v>
      </c>
      <c r="C1411">
        <v>306</v>
      </c>
      <c r="D1411">
        <v>11</v>
      </c>
      <c r="E1411">
        <v>1</v>
      </c>
      <c r="F1411">
        <v>4</v>
      </c>
      <c r="G1411" t="s">
        <v>1044</v>
      </c>
      <c r="H1411">
        <f>_xlfn.XLOOKUP(D1411, productos!$A$2:$A$150, productos!$D$2:$D$150, "No Encontrado", 0)</f>
        <v>11.23</v>
      </c>
      <c r="I1411">
        <f t="shared" ref="I1411:I1474" si="22">E1411*H1411</f>
        <v>11.23</v>
      </c>
    </row>
    <row r="1412" spans="1:9" x14ac:dyDescent="0.25">
      <c r="A1412">
        <v>1636</v>
      </c>
      <c r="B1412" s="1">
        <v>45455</v>
      </c>
      <c r="C1412">
        <v>152</v>
      </c>
      <c r="D1412">
        <v>12</v>
      </c>
      <c r="E1412">
        <v>5</v>
      </c>
      <c r="F1412">
        <v>4</v>
      </c>
      <c r="G1412" t="s">
        <v>1044</v>
      </c>
      <c r="H1412">
        <f>_xlfn.XLOOKUP(D1412, productos!$A$2:$A$150, productos!$D$2:$D$150, "No Encontrado", 0)</f>
        <v>8.1199999999999992</v>
      </c>
      <c r="I1412">
        <f t="shared" si="22"/>
        <v>40.599999999999994</v>
      </c>
    </row>
    <row r="1413" spans="1:9" x14ac:dyDescent="0.25">
      <c r="A1413">
        <v>1673</v>
      </c>
      <c r="B1413" s="1">
        <v>45455</v>
      </c>
      <c r="C1413">
        <v>140</v>
      </c>
      <c r="D1413">
        <v>3</v>
      </c>
      <c r="E1413">
        <v>3</v>
      </c>
      <c r="F1413">
        <v>2</v>
      </c>
      <c r="G1413" t="s">
        <v>1044</v>
      </c>
      <c r="H1413">
        <f>_xlfn.XLOOKUP(D1413, productos!$A$2:$A$150, productos!$D$2:$D$150, "No Encontrado", 0)</f>
        <v>17.23</v>
      </c>
      <c r="I1413">
        <f t="shared" si="22"/>
        <v>51.69</v>
      </c>
    </row>
    <row r="1414" spans="1:9" x14ac:dyDescent="0.25">
      <c r="A1414">
        <v>1741</v>
      </c>
      <c r="B1414" s="1">
        <v>45455</v>
      </c>
      <c r="C1414">
        <v>61</v>
      </c>
      <c r="D1414">
        <v>20</v>
      </c>
      <c r="E1414">
        <v>3</v>
      </c>
      <c r="F1414">
        <v>1</v>
      </c>
      <c r="G1414" t="s">
        <v>1044</v>
      </c>
      <c r="H1414">
        <f>_xlfn.XLOOKUP(D1414, productos!$A$2:$A$150, productos!$D$2:$D$150, "No Encontrado", 0)</f>
        <v>4.25</v>
      </c>
      <c r="I1414">
        <f t="shared" si="22"/>
        <v>12.75</v>
      </c>
    </row>
    <row r="1415" spans="1:9" x14ac:dyDescent="0.25">
      <c r="A1415">
        <v>2036</v>
      </c>
      <c r="B1415" s="1">
        <v>45455</v>
      </c>
      <c r="C1415">
        <v>158</v>
      </c>
      <c r="D1415">
        <v>10</v>
      </c>
      <c r="E1415">
        <v>6</v>
      </c>
      <c r="F1415">
        <v>3</v>
      </c>
      <c r="G1415" t="s">
        <v>1044</v>
      </c>
      <c r="H1415">
        <f>_xlfn.XLOOKUP(D1415, productos!$A$2:$A$150, productos!$D$2:$D$150, "No Encontrado", 0)</f>
        <v>14.25</v>
      </c>
      <c r="I1415">
        <f t="shared" si="22"/>
        <v>85.5</v>
      </c>
    </row>
    <row r="1416" spans="1:9" x14ac:dyDescent="0.25">
      <c r="A1416">
        <v>2270</v>
      </c>
      <c r="B1416" s="1">
        <v>45455</v>
      </c>
      <c r="C1416">
        <v>200</v>
      </c>
      <c r="D1416">
        <v>22</v>
      </c>
      <c r="E1416">
        <v>4</v>
      </c>
      <c r="F1416">
        <v>5</v>
      </c>
      <c r="G1416" t="s">
        <v>1044</v>
      </c>
      <c r="H1416">
        <f>_xlfn.XLOOKUP(D1416, productos!$A$2:$A$150, productos!$D$2:$D$150, "No Encontrado", 0)</f>
        <v>4.21</v>
      </c>
      <c r="I1416">
        <f t="shared" si="22"/>
        <v>16.84</v>
      </c>
    </row>
    <row r="1417" spans="1:9" x14ac:dyDescent="0.25">
      <c r="A1417">
        <v>2685</v>
      </c>
      <c r="B1417" s="1">
        <v>45455</v>
      </c>
      <c r="C1417">
        <v>40</v>
      </c>
      <c r="D1417">
        <v>38</v>
      </c>
      <c r="E1417">
        <v>2</v>
      </c>
      <c r="F1417">
        <v>4</v>
      </c>
      <c r="G1417" t="s">
        <v>1044</v>
      </c>
      <c r="H1417">
        <f>_xlfn.XLOOKUP(D1417, productos!$A$2:$A$150, productos!$D$2:$D$150, "No Encontrado", 0)</f>
        <v>6.21</v>
      </c>
      <c r="I1417">
        <f t="shared" si="22"/>
        <v>12.42</v>
      </c>
    </row>
    <row r="1418" spans="1:9" x14ac:dyDescent="0.25">
      <c r="A1418">
        <v>2737</v>
      </c>
      <c r="B1418" s="1">
        <v>45455</v>
      </c>
      <c r="C1418">
        <v>285</v>
      </c>
      <c r="D1418">
        <v>19</v>
      </c>
      <c r="E1418">
        <v>5</v>
      </c>
      <c r="F1418">
        <v>3</v>
      </c>
      <c r="G1418" t="s">
        <v>1044</v>
      </c>
      <c r="H1418">
        <f>_xlfn.XLOOKUP(D1418, productos!$A$2:$A$150, productos!$D$2:$D$150, "No Encontrado", 0)</f>
        <v>6.54</v>
      </c>
      <c r="I1418">
        <f t="shared" si="22"/>
        <v>32.700000000000003</v>
      </c>
    </row>
    <row r="1419" spans="1:9" x14ac:dyDescent="0.25">
      <c r="A1419">
        <v>2887</v>
      </c>
      <c r="B1419" s="1">
        <v>45455</v>
      </c>
      <c r="C1419">
        <v>24</v>
      </c>
      <c r="D1419">
        <v>16</v>
      </c>
      <c r="E1419">
        <v>6</v>
      </c>
      <c r="F1419">
        <v>5</v>
      </c>
      <c r="G1419" t="s">
        <v>1045</v>
      </c>
      <c r="H1419">
        <f>_xlfn.XLOOKUP(D1419, productos!$A$2:$A$150, productos!$D$2:$D$150, "No Encontrado", 0)</f>
        <v>15.23</v>
      </c>
      <c r="I1419">
        <f t="shared" si="22"/>
        <v>91.38</v>
      </c>
    </row>
    <row r="1420" spans="1:9" x14ac:dyDescent="0.25">
      <c r="A1420">
        <v>2990</v>
      </c>
      <c r="B1420" s="1">
        <v>45455</v>
      </c>
      <c r="C1420">
        <v>297</v>
      </c>
      <c r="D1420">
        <v>31</v>
      </c>
      <c r="E1420">
        <v>3</v>
      </c>
      <c r="F1420">
        <v>5</v>
      </c>
      <c r="G1420" t="s">
        <v>1045</v>
      </c>
      <c r="H1420">
        <f>_xlfn.XLOOKUP(D1420, productos!$A$2:$A$150, productos!$D$2:$D$150, "No Encontrado", 0)</f>
        <v>5.24</v>
      </c>
      <c r="I1420">
        <f t="shared" si="22"/>
        <v>15.72</v>
      </c>
    </row>
    <row r="1421" spans="1:9" x14ac:dyDescent="0.25">
      <c r="A1421">
        <v>586</v>
      </c>
      <c r="B1421" s="1">
        <v>45456</v>
      </c>
      <c r="C1421">
        <v>128</v>
      </c>
      <c r="D1421">
        <v>25</v>
      </c>
      <c r="E1421">
        <v>2</v>
      </c>
      <c r="F1421">
        <v>4</v>
      </c>
      <c r="G1421" t="s">
        <v>1044</v>
      </c>
      <c r="H1421">
        <f>_xlfn.XLOOKUP(D1421, productos!$A$2:$A$150, productos!$D$2:$D$150, "No Encontrado", 0)</f>
        <v>15.45</v>
      </c>
      <c r="I1421">
        <f t="shared" si="22"/>
        <v>30.9</v>
      </c>
    </row>
    <row r="1422" spans="1:9" x14ac:dyDescent="0.25">
      <c r="A1422">
        <v>616</v>
      </c>
      <c r="B1422" s="1">
        <v>45456</v>
      </c>
      <c r="C1422">
        <v>125</v>
      </c>
      <c r="D1422">
        <v>20</v>
      </c>
      <c r="E1422">
        <v>1</v>
      </c>
      <c r="F1422">
        <v>4</v>
      </c>
      <c r="G1422" t="s">
        <v>1044</v>
      </c>
      <c r="H1422">
        <f>_xlfn.XLOOKUP(D1422, productos!$A$2:$A$150, productos!$D$2:$D$150, "No Encontrado", 0)</f>
        <v>4.25</v>
      </c>
      <c r="I1422">
        <f t="shared" si="22"/>
        <v>4.25</v>
      </c>
    </row>
    <row r="1423" spans="1:9" x14ac:dyDescent="0.25">
      <c r="A1423">
        <v>789</v>
      </c>
      <c r="B1423" s="1">
        <v>45456</v>
      </c>
      <c r="C1423">
        <v>129</v>
      </c>
      <c r="D1423">
        <v>26</v>
      </c>
      <c r="E1423">
        <v>1</v>
      </c>
      <c r="F1423">
        <v>3</v>
      </c>
      <c r="G1423" t="s">
        <v>1044</v>
      </c>
      <c r="H1423">
        <f>_xlfn.XLOOKUP(D1423, productos!$A$2:$A$150, productos!$D$2:$D$150, "No Encontrado", 0)</f>
        <v>9.5399999999999991</v>
      </c>
      <c r="I1423">
        <f t="shared" si="22"/>
        <v>9.5399999999999991</v>
      </c>
    </row>
    <row r="1424" spans="1:9" x14ac:dyDescent="0.25">
      <c r="A1424">
        <v>863</v>
      </c>
      <c r="B1424" s="1">
        <v>45456</v>
      </c>
      <c r="C1424">
        <v>186</v>
      </c>
      <c r="D1424">
        <v>32</v>
      </c>
      <c r="E1424">
        <v>3</v>
      </c>
      <c r="F1424">
        <v>5</v>
      </c>
      <c r="G1424" t="s">
        <v>1044</v>
      </c>
      <c r="H1424">
        <f>_xlfn.XLOOKUP(D1424, productos!$A$2:$A$150, productos!$D$2:$D$150, "No Encontrado", 0)</f>
        <v>6.25</v>
      </c>
      <c r="I1424">
        <f t="shared" si="22"/>
        <v>18.75</v>
      </c>
    </row>
    <row r="1425" spans="1:9" x14ac:dyDescent="0.25">
      <c r="A1425">
        <v>1003</v>
      </c>
      <c r="B1425" s="1">
        <v>45456</v>
      </c>
      <c r="C1425">
        <v>19</v>
      </c>
      <c r="D1425">
        <v>11</v>
      </c>
      <c r="E1425">
        <v>1</v>
      </c>
      <c r="F1425">
        <v>5</v>
      </c>
      <c r="G1425" t="s">
        <v>1044</v>
      </c>
      <c r="H1425">
        <f>_xlfn.XLOOKUP(D1425, productos!$A$2:$A$150, productos!$D$2:$D$150, "No Encontrado", 0)</f>
        <v>11.23</v>
      </c>
      <c r="I1425">
        <f t="shared" si="22"/>
        <v>11.23</v>
      </c>
    </row>
    <row r="1426" spans="1:9" x14ac:dyDescent="0.25">
      <c r="A1426">
        <v>1064</v>
      </c>
      <c r="B1426" s="1">
        <v>45456</v>
      </c>
      <c r="C1426">
        <v>152</v>
      </c>
      <c r="D1426">
        <v>2</v>
      </c>
      <c r="E1426">
        <v>6</v>
      </c>
      <c r="F1426">
        <v>1</v>
      </c>
      <c r="G1426" t="s">
        <v>1044</v>
      </c>
      <c r="H1426">
        <f>_xlfn.XLOOKUP(D1426, productos!$A$2:$A$150, productos!$D$2:$D$150, "No Encontrado", 0)</f>
        <v>5.21</v>
      </c>
      <c r="I1426">
        <f t="shared" si="22"/>
        <v>31.259999999999998</v>
      </c>
    </row>
    <row r="1427" spans="1:9" x14ac:dyDescent="0.25">
      <c r="A1427">
        <v>1337</v>
      </c>
      <c r="B1427" s="1">
        <v>45456</v>
      </c>
      <c r="C1427">
        <v>77</v>
      </c>
      <c r="D1427">
        <v>4</v>
      </c>
      <c r="E1427">
        <v>2</v>
      </c>
      <c r="F1427">
        <v>3</v>
      </c>
      <c r="G1427" t="s">
        <v>1044</v>
      </c>
      <c r="H1427">
        <f>_xlfn.XLOOKUP(D1427, productos!$A$2:$A$150, productos!$D$2:$D$150, "No Encontrado", 0)</f>
        <v>19.23</v>
      </c>
      <c r="I1427">
        <f t="shared" si="22"/>
        <v>38.46</v>
      </c>
    </row>
    <row r="1428" spans="1:9" x14ac:dyDescent="0.25">
      <c r="A1428">
        <v>1593</v>
      </c>
      <c r="B1428" s="1">
        <v>45456</v>
      </c>
      <c r="C1428">
        <v>231</v>
      </c>
      <c r="D1428">
        <v>36</v>
      </c>
      <c r="E1428">
        <v>6</v>
      </c>
      <c r="F1428">
        <v>5</v>
      </c>
      <c r="G1428" t="s">
        <v>1044</v>
      </c>
      <c r="H1428">
        <f>_xlfn.XLOOKUP(D1428, productos!$A$2:$A$150, productos!$D$2:$D$150, "No Encontrado", 0)</f>
        <v>3.25</v>
      </c>
      <c r="I1428">
        <f t="shared" si="22"/>
        <v>19.5</v>
      </c>
    </row>
    <row r="1429" spans="1:9" x14ac:dyDescent="0.25">
      <c r="A1429">
        <v>2074</v>
      </c>
      <c r="B1429" s="1">
        <v>45456</v>
      </c>
      <c r="C1429">
        <v>172</v>
      </c>
      <c r="D1429">
        <v>20</v>
      </c>
      <c r="E1429">
        <v>1</v>
      </c>
      <c r="F1429">
        <v>5</v>
      </c>
      <c r="G1429" t="s">
        <v>1044</v>
      </c>
      <c r="H1429">
        <f>_xlfn.XLOOKUP(D1429, productos!$A$2:$A$150, productos!$D$2:$D$150, "No Encontrado", 0)</f>
        <v>4.25</v>
      </c>
      <c r="I1429">
        <f t="shared" si="22"/>
        <v>4.25</v>
      </c>
    </row>
    <row r="1430" spans="1:9" x14ac:dyDescent="0.25">
      <c r="A1430">
        <v>2691</v>
      </c>
      <c r="B1430" s="1">
        <v>45456</v>
      </c>
      <c r="C1430">
        <v>72</v>
      </c>
      <c r="D1430">
        <v>20</v>
      </c>
      <c r="E1430">
        <v>4</v>
      </c>
      <c r="F1430">
        <v>4</v>
      </c>
      <c r="G1430" t="s">
        <v>1044</v>
      </c>
      <c r="H1430">
        <f>_xlfn.XLOOKUP(D1430, productos!$A$2:$A$150, productos!$D$2:$D$150, "No Encontrado", 0)</f>
        <v>4.25</v>
      </c>
      <c r="I1430">
        <f t="shared" si="22"/>
        <v>17</v>
      </c>
    </row>
    <row r="1431" spans="1:9" x14ac:dyDescent="0.25">
      <c r="A1431">
        <v>2894</v>
      </c>
      <c r="B1431" s="1">
        <v>45456</v>
      </c>
      <c r="C1431">
        <v>259</v>
      </c>
      <c r="D1431">
        <v>15</v>
      </c>
      <c r="E1431">
        <v>2</v>
      </c>
      <c r="F1431">
        <v>1</v>
      </c>
      <c r="G1431" t="s">
        <v>1044</v>
      </c>
      <c r="H1431">
        <f>_xlfn.XLOOKUP(D1431, productos!$A$2:$A$150, productos!$D$2:$D$150, "No Encontrado", 0)</f>
        <v>3.51</v>
      </c>
      <c r="I1431">
        <f t="shared" si="22"/>
        <v>7.02</v>
      </c>
    </row>
    <row r="1432" spans="1:9" x14ac:dyDescent="0.25">
      <c r="A1432">
        <v>2975</v>
      </c>
      <c r="B1432" s="1">
        <v>45456</v>
      </c>
      <c r="C1432">
        <v>50</v>
      </c>
      <c r="D1432">
        <v>25</v>
      </c>
      <c r="E1432">
        <v>6</v>
      </c>
      <c r="F1432">
        <v>5</v>
      </c>
      <c r="G1432" t="s">
        <v>1044</v>
      </c>
      <c r="H1432">
        <f>_xlfn.XLOOKUP(D1432, productos!$A$2:$A$150, productos!$D$2:$D$150, "No Encontrado", 0)</f>
        <v>15.45</v>
      </c>
      <c r="I1432">
        <f t="shared" si="22"/>
        <v>92.699999999999989</v>
      </c>
    </row>
    <row r="1433" spans="1:9" x14ac:dyDescent="0.25">
      <c r="A1433">
        <v>603</v>
      </c>
      <c r="B1433" s="1">
        <v>45457</v>
      </c>
      <c r="C1433">
        <v>249</v>
      </c>
      <c r="D1433">
        <v>1</v>
      </c>
      <c r="E1433">
        <v>4</v>
      </c>
      <c r="F1433">
        <v>5</v>
      </c>
      <c r="G1433" t="s">
        <v>1045</v>
      </c>
      <c r="H1433">
        <f>_xlfn.XLOOKUP(D1433, productos!$A$2:$A$150, productos!$D$2:$D$150, "No Encontrado", 0)</f>
        <v>12.24</v>
      </c>
      <c r="I1433">
        <f t="shared" si="22"/>
        <v>48.96</v>
      </c>
    </row>
    <row r="1434" spans="1:9" x14ac:dyDescent="0.25">
      <c r="A1434">
        <v>972</v>
      </c>
      <c r="B1434" s="1">
        <v>45457</v>
      </c>
      <c r="C1434">
        <v>181</v>
      </c>
      <c r="D1434">
        <v>35</v>
      </c>
      <c r="E1434">
        <v>2</v>
      </c>
      <c r="F1434">
        <v>4</v>
      </c>
      <c r="G1434" t="s">
        <v>1044</v>
      </c>
      <c r="H1434">
        <f>_xlfn.XLOOKUP(D1434, productos!$A$2:$A$150, productos!$D$2:$D$150, "No Encontrado", 0)</f>
        <v>4.25</v>
      </c>
      <c r="I1434">
        <f t="shared" si="22"/>
        <v>8.5</v>
      </c>
    </row>
    <row r="1435" spans="1:9" x14ac:dyDescent="0.25">
      <c r="A1435">
        <v>1543</v>
      </c>
      <c r="B1435" s="1">
        <v>45457</v>
      </c>
      <c r="C1435">
        <v>130</v>
      </c>
      <c r="D1435">
        <v>37</v>
      </c>
      <c r="E1435">
        <v>3</v>
      </c>
      <c r="F1435">
        <v>2</v>
      </c>
      <c r="G1435" t="s">
        <v>1044</v>
      </c>
      <c r="H1435">
        <f>_xlfn.XLOOKUP(D1435, productos!$A$2:$A$150, productos!$D$2:$D$150, "No Encontrado", 0)</f>
        <v>3.65</v>
      </c>
      <c r="I1435">
        <f t="shared" si="22"/>
        <v>10.95</v>
      </c>
    </row>
    <row r="1436" spans="1:9" x14ac:dyDescent="0.25">
      <c r="A1436">
        <v>2582</v>
      </c>
      <c r="B1436" s="1">
        <v>45457</v>
      </c>
      <c r="C1436">
        <v>124</v>
      </c>
      <c r="D1436">
        <v>32</v>
      </c>
      <c r="E1436">
        <v>2</v>
      </c>
      <c r="F1436">
        <v>1</v>
      </c>
      <c r="G1436" t="s">
        <v>1044</v>
      </c>
      <c r="H1436">
        <f>_xlfn.XLOOKUP(D1436, productos!$A$2:$A$150, productos!$D$2:$D$150, "No Encontrado", 0)</f>
        <v>6.25</v>
      </c>
      <c r="I1436">
        <f t="shared" si="22"/>
        <v>12.5</v>
      </c>
    </row>
    <row r="1437" spans="1:9" x14ac:dyDescent="0.25">
      <c r="A1437">
        <v>2700</v>
      </c>
      <c r="B1437" s="1">
        <v>45457</v>
      </c>
      <c r="C1437">
        <v>39</v>
      </c>
      <c r="D1437">
        <v>21</v>
      </c>
      <c r="E1437">
        <v>6</v>
      </c>
      <c r="F1437">
        <v>3</v>
      </c>
      <c r="G1437" t="s">
        <v>1044</v>
      </c>
      <c r="H1437">
        <f>_xlfn.XLOOKUP(D1437, productos!$A$2:$A$150, productos!$D$2:$D$150, "No Encontrado", 0)</f>
        <v>3.25</v>
      </c>
      <c r="I1437">
        <f t="shared" si="22"/>
        <v>19.5</v>
      </c>
    </row>
    <row r="1438" spans="1:9" x14ac:dyDescent="0.25">
      <c r="A1438">
        <v>2767</v>
      </c>
      <c r="B1438" s="1">
        <v>45457</v>
      </c>
      <c r="C1438">
        <v>245</v>
      </c>
      <c r="D1438">
        <v>29</v>
      </c>
      <c r="E1438">
        <v>5</v>
      </c>
      <c r="F1438">
        <v>5</v>
      </c>
      <c r="G1438" t="s">
        <v>1044</v>
      </c>
      <c r="H1438">
        <f>_xlfn.XLOOKUP(D1438, productos!$A$2:$A$150, productos!$D$2:$D$150, "No Encontrado", 0)</f>
        <v>11.54</v>
      </c>
      <c r="I1438">
        <f t="shared" si="22"/>
        <v>57.699999999999996</v>
      </c>
    </row>
    <row r="1439" spans="1:9" x14ac:dyDescent="0.25">
      <c r="A1439">
        <v>2955</v>
      </c>
      <c r="B1439" s="1">
        <v>45457</v>
      </c>
      <c r="C1439">
        <v>311</v>
      </c>
      <c r="D1439">
        <v>20</v>
      </c>
      <c r="E1439">
        <v>5</v>
      </c>
      <c r="F1439">
        <v>1</v>
      </c>
      <c r="G1439" t="s">
        <v>1044</v>
      </c>
      <c r="H1439">
        <f>_xlfn.XLOOKUP(D1439, productos!$A$2:$A$150, productos!$D$2:$D$150, "No Encontrado", 0)</f>
        <v>4.25</v>
      </c>
      <c r="I1439">
        <f t="shared" si="22"/>
        <v>21.25</v>
      </c>
    </row>
    <row r="1440" spans="1:9" x14ac:dyDescent="0.25">
      <c r="A1440">
        <v>510</v>
      </c>
      <c r="B1440" s="1">
        <v>45458</v>
      </c>
      <c r="C1440">
        <v>250</v>
      </c>
      <c r="D1440">
        <v>10</v>
      </c>
      <c r="E1440">
        <v>3</v>
      </c>
      <c r="F1440">
        <v>4</v>
      </c>
      <c r="G1440" t="s">
        <v>1044</v>
      </c>
      <c r="H1440">
        <f>_xlfn.XLOOKUP(D1440, productos!$A$2:$A$150, productos!$D$2:$D$150, "No Encontrado", 0)</f>
        <v>14.25</v>
      </c>
      <c r="I1440">
        <f t="shared" si="22"/>
        <v>42.75</v>
      </c>
    </row>
    <row r="1441" spans="1:9" x14ac:dyDescent="0.25">
      <c r="A1441">
        <v>1324</v>
      </c>
      <c r="B1441" s="1">
        <v>45458</v>
      </c>
      <c r="C1441">
        <v>41</v>
      </c>
      <c r="D1441">
        <v>18</v>
      </c>
      <c r="E1441">
        <v>5</v>
      </c>
      <c r="F1441">
        <v>5</v>
      </c>
      <c r="G1441" t="s">
        <v>1044</v>
      </c>
      <c r="H1441">
        <f>_xlfn.XLOOKUP(D1441, productos!$A$2:$A$150, productos!$D$2:$D$150, "No Encontrado", 0)</f>
        <v>7.25</v>
      </c>
      <c r="I1441">
        <f t="shared" si="22"/>
        <v>36.25</v>
      </c>
    </row>
    <row r="1442" spans="1:9" x14ac:dyDescent="0.25">
      <c r="A1442">
        <v>1369</v>
      </c>
      <c r="B1442" s="1">
        <v>45458</v>
      </c>
      <c r="C1442">
        <v>232</v>
      </c>
      <c r="D1442">
        <v>9</v>
      </c>
      <c r="E1442">
        <v>1</v>
      </c>
      <c r="F1442">
        <v>1</v>
      </c>
      <c r="G1442" t="s">
        <v>1044</v>
      </c>
      <c r="H1442">
        <f>_xlfn.XLOOKUP(D1442, productos!$A$2:$A$150, productos!$D$2:$D$150, "No Encontrado", 0)</f>
        <v>18.559999999999999</v>
      </c>
      <c r="I1442">
        <f t="shared" si="22"/>
        <v>18.559999999999999</v>
      </c>
    </row>
    <row r="1443" spans="1:9" x14ac:dyDescent="0.25">
      <c r="A1443">
        <v>1653</v>
      </c>
      <c r="B1443" s="1">
        <v>45458</v>
      </c>
      <c r="C1443">
        <v>124</v>
      </c>
      <c r="D1443">
        <v>6</v>
      </c>
      <c r="E1443">
        <v>2</v>
      </c>
      <c r="F1443">
        <v>5</v>
      </c>
      <c r="G1443" t="s">
        <v>1044</v>
      </c>
      <c r="H1443">
        <f>_xlfn.XLOOKUP(D1443, productos!$A$2:$A$150, productos!$D$2:$D$150, "No Encontrado", 0)</f>
        <v>28.56</v>
      </c>
      <c r="I1443">
        <f t="shared" si="22"/>
        <v>57.12</v>
      </c>
    </row>
    <row r="1444" spans="1:9" x14ac:dyDescent="0.25">
      <c r="A1444">
        <v>1702</v>
      </c>
      <c r="B1444" s="1">
        <v>45458</v>
      </c>
      <c r="C1444">
        <v>289</v>
      </c>
      <c r="D1444">
        <v>6</v>
      </c>
      <c r="E1444">
        <v>1</v>
      </c>
      <c r="F1444">
        <v>5</v>
      </c>
      <c r="G1444" t="s">
        <v>1044</v>
      </c>
      <c r="H1444">
        <f>_xlfn.XLOOKUP(D1444, productos!$A$2:$A$150, productos!$D$2:$D$150, "No Encontrado", 0)</f>
        <v>28.56</v>
      </c>
      <c r="I1444">
        <f t="shared" si="22"/>
        <v>28.56</v>
      </c>
    </row>
    <row r="1445" spans="1:9" x14ac:dyDescent="0.25">
      <c r="A1445">
        <v>1803</v>
      </c>
      <c r="B1445" s="1">
        <v>45458</v>
      </c>
      <c r="C1445">
        <v>100</v>
      </c>
      <c r="D1445">
        <v>27</v>
      </c>
      <c r="E1445">
        <v>5</v>
      </c>
      <c r="F1445">
        <v>4</v>
      </c>
      <c r="G1445" t="s">
        <v>1044</v>
      </c>
      <c r="H1445">
        <f>_xlfn.XLOOKUP(D1445, productos!$A$2:$A$150, productos!$D$2:$D$150, "No Encontrado", 0)</f>
        <v>6.21</v>
      </c>
      <c r="I1445">
        <f t="shared" si="22"/>
        <v>31.05</v>
      </c>
    </row>
    <row r="1446" spans="1:9" x14ac:dyDescent="0.25">
      <c r="A1446">
        <v>1902</v>
      </c>
      <c r="B1446" s="1">
        <v>45458</v>
      </c>
      <c r="C1446">
        <v>55</v>
      </c>
      <c r="D1446">
        <v>37</v>
      </c>
      <c r="E1446">
        <v>5</v>
      </c>
      <c r="F1446">
        <v>4</v>
      </c>
      <c r="G1446" t="s">
        <v>1044</v>
      </c>
      <c r="H1446">
        <f>_xlfn.XLOOKUP(D1446, productos!$A$2:$A$150, productos!$D$2:$D$150, "No Encontrado", 0)</f>
        <v>3.65</v>
      </c>
      <c r="I1446">
        <f t="shared" si="22"/>
        <v>18.25</v>
      </c>
    </row>
    <row r="1447" spans="1:9" x14ac:dyDescent="0.25">
      <c r="A1447">
        <v>2240</v>
      </c>
      <c r="B1447" s="1">
        <v>45458</v>
      </c>
      <c r="C1447">
        <v>258</v>
      </c>
      <c r="D1447">
        <v>33</v>
      </c>
      <c r="E1447">
        <v>4</v>
      </c>
      <c r="F1447">
        <v>3</v>
      </c>
      <c r="G1447" t="s">
        <v>1044</v>
      </c>
      <c r="H1447">
        <f>_xlfn.XLOOKUP(D1447, productos!$A$2:$A$150, productos!$D$2:$D$150, "No Encontrado", 0)</f>
        <v>8.5399999999999991</v>
      </c>
      <c r="I1447">
        <f t="shared" si="22"/>
        <v>34.159999999999997</v>
      </c>
    </row>
    <row r="1448" spans="1:9" x14ac:dyDescent="0.25">
      <c r="A1448">
        <v>2364</v>
      </c>
      <c r="B1448" s="1">
        <v>45458</v>
      </c>
      <c r="C1448">
        <v>285</v>
      </c>
      <c r="D1448">
        <v>26</v>
      </c>
      <c r="E1448">
        <v>2</v>
      </c>
      <c r="F1448">
        <v>4</v>
      </c>
      <c r="G1448" t="s">
        <v>1045</v>
      </c>
      <c r="H1448">
        <f>_xlfn.XLOOKUP(D1448, productos!$A$2:$A$150, productos!$D$2:$D$150, "No Encontrado", 0)</f>
        <v>9.5399999999999991</v>
      </c>
      <c r="I1448">
        <f t="shared" si="22"/>
        <v>19.079999999999998</v>
      </c>
    </row>
    <row r="1449" spans="1:9" x14ac:dyDescent="0.25">
      <c r="A1449">
        <v>2435</v>
      </c>
      <c r="B1449" s="1">
        <v>45458</v>
      </c>
      <c r="C1449">
        <v>80</v>
      </c>
      <c r="D1449">
        <v>35</v>
      </c>
      <c r="E1449">
        <v>5</v>
      </c>
      <c r="F1449">
        <v>4</v>
      </c>
      <c r="G1449" t="s">
        <v>1044</v>
      </c>
      <c r="H1449">
        <f>_xlfn.XLOOKUP(D1449, productos!$A$2:$A$150, productos!$D$2:$D$150, "No Encontrado", 0)</f>
        <v>4.25</v>
      </c>
      <c r="I1449">
        <f t="shared" si="22"/>
        <v>21.25</v>
      </c>
    </row>
    <row r="1450" spans="1:9" x14ac:dyDescent="0.25">
      <c r="A1450">
        <v>2511</v>
      </c>
      <c r="B1450" s="1">
        <v>45458</v>
      </c>
      <c r="C1450">
        <v>259</v>
      </c>
      <c r="D1450">
        <v>37</v>
      </c>
      <c r="E1450">
        <v>3</v>
      </c>
      <c r="F1450">
        <v>3</v>
      </c>
      <c r="G1450" t="s">
        <v>1045</v>
      </c>
      <c r="H1450">
        <f>_xlfn.XLOOKUP(D1450, productos!$A$2:$A$150, productos!$D$2:$D$150, "No Encontrado", 0)</f>
        <v>3.65</v>
      </c>
      <c r="I1450">
        <f t="shared" si="22"/>
        <v>10.95</v>
      </c>
    </row>
    <row r="1451" spans="1:9" x14ac:dyDescent="0.25">
      <c r="A1451">
        <v>506</v>
      </c>
      <c r="B1451" s="1">
        <v>45459</v>
      </c>
      <c r="C1451">
        <v>287</v>
      </c>
      <c r="D1451">
        <v>27</v>
      </c>
      <c r="E1451">
        <v>6</v>
      </c>
      <c r="F1451">
        <v>4</v>
      </c>
      <c r="G1451" t="s">
        <v>1044</v>
      </c>
      <c r="H1451">
        <f>_xlfn.XLOOKUP(D1451, productos!$A$2:$A$150, productos!$D$2:$D$150, "No Encontrado", 0)</f>
        <v>6.21</v>
      </c>
      <c r="I1451">
        <f t="shared" si="22"/>
        <v>37.26</v>
      </c>
    </row>
    <row r="1452" spans="1:9" x14ac:dyDescent="0.25">
      <c r="A1452">
        <v>579</v>
      </c>
      <c r="B1452" s="1">
        <v>45459</v>
      </c>
      <c r="C1452">
        <v>144</v>
      </c>
      <c r="D1452">
        <v>23</v>
      </c>
      <c r="E1452">
        <v>1</v>
      </c>
      <c r="F1452">
        <v>3</v>
      </c>
      <c r="G1452" t="s">
        <v>1044</v>
      </c>
      <c r="H1452">
        <f>_xlfn.XLOOKUP(D1452, productos!$A$2:$A$150, productos!$D$2:$D$150, "No Encontrado", 0)</f>
        <v>8.23</v>
      </c>
      <c r="I1452">
        <f t="shared" si="22"/>
        <v>8.23</v>
      </c>
    </row>
    <row r="1453" spans="1:9" x14ac:dyDescent="0.25">
      <c r="A1453">
        <v>622</v>
      </c>
      <c r="B1453" s="1">
        <v>45459</v>
      </c>
      <c r="C1453">
        <v>244</v>
      </c>
      <c r="D1453">
        <v>30</v>
      </c>
      <c r="E1453">
        <v>1</v>
      </c>
      <c r="F1453">
        <v>4</v>
      </c>
      <c r="G1453" t="s">
        <v>1044</v>
      </c>
      <c r="H1453">
        <f>_xlfn.XLOOKUP(D1453, productos!$A$2:$A$150, productos!$D$2:$D$150, "No Encontrado", 0)</f>
        <v>13.54</v>
      </c>
      <c r="I1453">
        <f t="shared" si="22"/>
        <v>13.54</v>
      </c>
    </row>
    <row r="1454" spans="1:9" x14ac:dyDescent="0.25">
      <c r="A1454">
        <v>660</v>
      </c>
      <c r="B1454" s="1">
        <v>45459</v>
      </c>
      <c r="C1454">
        <v>205</v>
      </c>
      <c r="D1454">
        <v>3</v>
      </c>
      <c r="E1454">
        <v>3</v>
      </c>
      <c r="F1454">
        <v>5</v>
      </c>
      <c r="G1454" t="s">
        <v>1044</v>
      </c>
      <c r="H1454">
        <f>_xlfn.XLOOKUP(D1454, productos!$A$2:$A$150, productos!$D$2:$D$150, "No Encontrado", 0)</f>
        <v>17.23</v>
      </c>
      <c r="I1454">
        <f t="shared" si="22"/>
        <v>51.69</v>
      </c>
    </row>
    <row r="1455" spans="1:9" x14ac:dyDescent="0.25">
      <c r="A1455">
        <v>733</v>
      </c>
      <c r="B1455" s="1">
        <v>45459</v>
      </c>
      <c r="C1455">
        <v>111</v>
      </c>
      <c r="D1455">
        <v>29</v>
      </c>
      <c r="E1455">
        <v>3</v>
      </c>
      <c r="F1455">
        <v>3</v>
      </c>
      <c r="G1455" t="s">
        <v>1044</v>
      </c>
      <c r="H1455">
        <f>_xlfn.XLOOKUP(D1455, productos!$A$2:$A$150, productos!$D$2:$D$150, "No Encontrado", 0)</f>
        <v>11.54</v>
      </c>
      <c r="I1455">
        <f t="shared" si="22"/>
        <v>34.619999999999997</v>
      </c>
    </row>
    <row r="1456" spans="1:9" x14ac:dyDescent="0.25">
      <c r="A1456">
        <v>836</v>
      </c>
      <c r="B1456" s="1">
        <v>45459</v>
      </c>
      <c r="C1456">
        <v>165</v>
      </c>
      <c r="D1456">
        <v>4</v>
      </c>
      <c r="E1456">
        <v>4</v>
      </c>
      <c r="F1456">
        <v>3</v>
      </c>
      <c r="G1456" t="s">
        <v>1045</v>
      </c>
      <c r="H1456">
        <f>_xlfn.XLOOKUP(D1456, productos!$A$2:$A$150, productos!$D$2:$D$150, "No Encontrado", 0)</f>
        <v>19.23</v>
      </c>
      <c r="I1456">
        <f t="shared" si="22"/>
        <v>76.92</v>
      </c>
    </row>
    <row r="1457" spans="1:9" x14ac:dyDescent="0.25">
      <c r="A1457">
        <v>1131</v>
      </c>
      <c r="B1457" s="1">
        <v>45459</v>
      </c>
      <c r="C1457">
        <v>134</v>
      </c>
      <c r="D1457">
        <v>6</v>
      </c>
      <c r="E1457">
        <v>1</v>
      </c>
      <c r="F1457">
        <v>3</v>
      </c>
      <c r="G1457" t="s">
        <v>1045</v>
      </c>
      <c r="H1457">
        <f>_xlfn.XLOOKUP(D1457, productos!$A$2:$A$150, productos!$D$2:$D$150, "No Encontrado", 0)</f>
        <v>28.56</v>
      </c>
      <c r="I1457">
        <f t="shared" si="22"/>
        <v>28.56</v>
      </c>
    </row>
    <row r="1458" spans="1:9" x14ac:dyDescent="0.25">
      <c r="A1458">
        <v>1354</v>
      </c>
      <c r="B1458" s="1">
        <v>45459</v>
      </c>
      <c r="C1458">
        <v>71</v>
      </c>
      <c r="D1458">
        <v>38</v>
      </c>
      <c r="E1458">
        <v>2</v>
      </c>
      <c r="F1458">
        <v>1</v>
      </c>
      <c r="G1458" t="s">
        <v>1045</v>
      </c>
      <c r="H1458">
        <f>_xlfn.XLOOKUP(D1458, productos!$A$2:$A$150, productos!$D$2:$D$150, "No Encontrado", 0)</f>
        <v>6.21</v>
      </c>
      <c r="I1458">
        <f t="shared" si="22"/>
        <v>12.42</v>
      </c>
    </row>
    <row r="1459" spans="1:9" x14ac:dyDescent="0.25">
      <c r="A1459">
        <v>1404</v>
      </c>
      <c r="B1459" s="1">
        <v>45459</v>
      </c>
      <c r="C1459">
        <v>57</v>
      </c>
      <c r="D1459">
        <v>19</v>
      </c>
      <c r="E1459">
        <v>3</v>
      </c>
      <c r="F1459">
        <v>3</v>
      </c>
      <c r="G1459" t="s">
        <v>1044</v>
      </c>
      <c r="H1459">
        <f>_xlfn.XLOOKUP(D1459, productos!$A$2:$A$150, productos!$D$2:$D$150, "No Encontrado", 0)</f>
        <v>6.54</v>
      </c>
      <c r="I1459">
        <f t="shared" si="22"/>
        <v>19.62</v>
      </c>
    </row>
    <row r="1460" spans="1:9" x14ac:dyDescent="0.25">
      <c r="A1460">
        <v>1423</v>
      </c>
      <c r="B1460" s="1">
        <v>45459</v>
      </c>
      <c r="C1460">
        <v>264</v>
      </c>
      <c r="D1460">
        <v>1</v>
      </c>
      <c r="E1460">
        <v>1</v>
      </c>
      <c r="F1460">
        <v>3</v>
      </c>
      <c r="G1460" t="s">
        <v>1044</v>
      </c>
      <c r="H1460">
        <f>_xlfn.XLOOKUP(D1460, productos!$A$2:$A$150, productos!$D$2:$D$150, "No Encontrado", 0)</f>
        <v>12.24</v>
      </c>
      <c r="I1460">
        <f t="shared" si="22"/>
        <v>12.24</v>
      </c>
    </row>
    <row r="1461" spans="1:9" x14ac:dyDescent="0.25">
      <c r="A1461">
        <v>1551</v>
      </c>
      <c r="B1461" s="1">
        <v>45459</v>
      </c>
      <c r="C1461">
        <v>162</v>
      </c>
      <c r="D1461">
        <v>1</v>
      </c>
      <c r="E1461">
        <v>1</v>
      </c>
      <c r="F1461">
        <v>1</v>
      </c>
      <c r="G1461" t="s">
        <v>1044</v>
      </c>
      <c r="H1461">
        <f>_xlfn.XLOOKUP(D1461, productos!$A$2:$A$150, productos!$D$2:$D$150, "No Encontrado", 0)</f>
        <v>12.24</v>
      </c>
      <c r="I1461">
        <f t="shared" si="22"/>
        <v>12.24</v>
      </c>
    </row>
    <row r="1462" spans="1:9" x14ac:dyDescent="0.25">
      <c r="A1462">
        <v>1643</v>
      </c>
      <c r="B1462" s="1">
        <v>45459</v>
      </c>
      <c r="C1462">
        <v>170</v>
      </c>
      <c r="D1462">
        <v>7</v>
      </c>
      <c r="E1462">
        <v>6</v>
      </c>
      <c r="F1462">
        <v>2</v>
      </c>
      <c r="G1462" t="s">
        <v>1044</v>
      </c>
      <c r="H1462">
        <f>_xlfn.XLOOKUP(D1462, productos!$A$2:$A$150, productos!$D$2:$D$150, "No Encontrado", 0)</f>
        <v>11.25</v>
      </c>
      <c r="I1462">
        <f t="shared" si="22"/>
        <v>67.5</v>
      </c>
    </row>
    <row r="1463" spans="1:9" x14ac:dyDescent="0.25">
      <c r="A1463">
        <v>1688</v>
      </c>
      <c r="B1463" s="1">
        <v>45459</v>
      </c>
      <c r="C1463">
        <v>297</v>
      </c>
      <c r="D1463">
        <v>12</v>
      </c>
      <c r="E1463">
        <v>3</v>
      </c>
      <c r="F1463">
        <v>5</v>
      </c>
      <c r="G1463" t="s">
        <v>1044</v>
      </c>
      <c r="H1463">
        <f>_xlfn.XLOOKUP(D1463, productos!$A$2:$A$150, productos!$D$2:$D$150, "No Encontrado", 0)</f>
        <v>8.1199999999999992</v>
      </c>
      <c r="I1463">
        <f t="shared" si="22"/>
        <v>24.36</v>
      </c>
    </row>
    <row r="1464" spans="1:9" x14ac:dyDescent="0.25">
      <c r="A1464">
        <v>1692</v>
      </c>
      <c r="B1464" s="1">
        <v>45459</v>
      </c>
      <c r="C1464">
        <v>295</v>
      </c>
      <c r="D1464">
        <v>35</v>
      </c>
      <c r="E1464">
        <v>2</v>
      </c>
      <c r="F1464">
        <v>4</v>
      </c>
      <c r="G1464" t="s">
        <v>1045</v>
      </c>
      <c r="H1464">
        <f>_xlfn.XLOOKUP(D1464, productos!$A$2:$A$150, productos!$D$2:$D$150, "No Encontrado", 0)</f>
        <v>4.25</v>
      </c>
      <c r="I1464">
        <f t="shared" si="22"/>
        <v>8.5</v>
      </c>
    </row>
    <row r="1465" spans="1:9" x14ac:dyDescent="0.25">
      <c r="A1465">
        <v>1758</v>
      </c>
      <c r="B1465" s="1">
        <v>45459</v>
      </c>
      <c r="C1465">
        <v>38</v>
      </c>
      <c r="D1465">
        <v>26</v>
      </c>
      <c r="E1465">
        <v>4</v>
      </c>
      <c r="F1465">
        <v>3</v>
      </c>
      <c r="G1465" t="s">
        <v>1044</v>
      </c>
      <c r="H1465">
        <f>_xlfn.XLOOKUP(D1465, productos!$A$2:$A$150, productos!$D$2:$D$150, "No Encontrado", 0)</f>
        <v>9.5399999999999991</v>
      </c>
      <c r="I1465">
        <f t="shared" si="22"/>
        <v>38.159999999999997</v>
      </c>
    </row>
    <row r="1466" spans="1:9" x14ac:dyDescent="0.25">
      <c r="A1466">
        <v>1881</v>
      </c>
      <c r="B1466" s="1">
        <v>45459</v>
      </c>
      <c r="C1466">
        <v>218</v>
      </c>
      <c r="D1466">
        <v>24</v>
      </c>
      <c r="E1466">
        <v>5</v>
      </c>
      <c r="F1466">
        <v>3</v>
      </c>
      <c r="G1466" t="s">
        <v>1044</v>
      </c>
      <c r="H1466">
        <f>_xlfn.XLOOKUP(D1466, productos!$A$2:$A$150, productos!$D$2:$D$150, "No Encontrado", 0)</f>
        <v>13.54</v>
      </c>
      <c r="I1466">
        <f t="shared" si="22"/>
        <v>67.699999999999989</v>
      </c>
    </row>
    <row r="1467" spans="1:9" x14ac:dyDescent="0.25">
      <c r="A1467">
        <v>949</v>
      </c>
      <c r="B1467" s="1">
        <v>45460</v>
      </c>
      <c r="C1467">
        <v>29</v>
      </c>
      <c r="D1467">
        <v>19</v>
      </c>
      <c r="E1467">
        <v>2</v>
      </c>
      <c r="F1467">
        <v>3</v>
      </c>
      <c r="G1467" t="s">
        <v>1045</v>
      </c>
      <c r="H1467">
        <f>_xlfn.XLOOKUP(D1467, productos!$A$2:$A$150, productos!$D$2:$D$150, "No Encontrado", 0)</f>
        <v>6.54</v>
      </c>
      <c r="I1467">
        <f t="shared" si="22"/>
        <v>13.08</v>
      </c>
    </row>
    <row r="1468" spans="1:9" x14ac:dyDescent="0.25">
      <c r="A1468">
        <v>1167</v>
      </c>
      <c r="B1468" s="1">
        <v>45460</v>
      </c>
      <c r="C1468">
        <v>311</v>
      </c>
      <c r="D1468">
        <v>7</v>
      </c>
      <c r="E1468">
        <v>4</v>
      </c>
      <c r="F1468">
        <v>5</v>
      </c>
      <c r="G1468" t="s">
        <v>1044</v>
      </c>
      <c r="H1468">
        <f>_xlfn.XLOOKUP(D1468, productos!$A$2:$A$150, productos!$D$2:$D$150, "No Encontrado", 0)</f>
        <v>11.25</v>
      </c>
      <c r="I1468">
        <f t="shared" si="22"/>
        <v>45</v>
      </c>
    </row>
    <row r="1469" spans="1:9" x14ac:dyDescent="0.25">
      <c r="A1469">
        <v>1234</v>
      </c>
      <c r="B1469" s="1">
        <v>45460</v>
      </c>
      <c r="C1469">
        <v>276</v>
      </c>
      <c r="D1469">
        <v>25</v>
      </c>
      <c r="E1469">
        <v>5</v>
      </c>
      <c r="F1469">
        <v>5</v>
      </c>
      <c r="G1469" t="s">
        <v>1046</v>
      </c>
      <c r="H1469">
        <f>_xlfn.XLOOKUP(D1469, productos!$A$2:$A$150, productos!$D$2:$D$150, "No Encontrado", 0)</f>
        <v>15.45</v>
      </c>
      <c r="I1469">
        <f t="shared" si="22"/>
        <v>77.25</v>
      </c>
    </row>
    <row r="1470" spans="1:9" x14ac:dyDescent="0.25">
      <c r="A1470">
        <v>1464</v>
      </c>
      <c r="B1470" s="1">
        <v>45460</v>
      </c>
      <c r="C1470">
        <v>268</v>
      </c>
      <c r="D1470">
        <v>18</v>
      </c>
      <c r="E1470">
        <v>1</v>
      </c>
      <c r="F1470">
        <v>1</v>
      </c>
      <c r="G1470" t="s">
        <v>1044</v>
      </c>
      <c r="H1470">
        <f>_xlfn.XLOOKUP(D1470, productos!$A$2:$A$150, productos!$D$2:$D$150, "No Encontrado", 0)</f>
        <v>7.25</v>
      </c>
      <c r="I1470">
        <f t="shared" si="22"/>
        <v>7.25</v>
      </c>
    </row>
    <row r="1471" spans="1:9" x14ac:dyDescent="0.25">
      <c r="A1471">
        <v>1760</v>
      </c>
      <c r="B1471" s="1">
        <v>45460</v>
      </c>
      <c r="C1471">
        <v>124</v>
      </c>
      <c r="D1471">
        <v>36</v>
      </c>
      <c r="E1471">
        <v>2</v>
      </c>
      <c r="F1471">
        <v>3</v>
      </c>
      <c r="G1471" t="s">
        <v>1044</v>
      </c>
      <c r="H1471">
        <f>_xlfn.XLOOKUP(D1471, productos!$A$2:$A$150, productos!$D$2:$D$150, "No Encontrado", 0)</f>
        <v>3.25</v>
      </c>
      <c r="I1471">
        <f t="shared" si="22"/>
        <v>6.5</v>
      </c>
    </row>
    <row r="1472" spans="1:9" x14ac:dyDescent="0.25">
      <c r="A1472">
        <v>1761</v>
      </c>
      <c r="B1472" s="1">
        <v>45460</v>
      </c>
      <c r="C1472">
        <v>260</v>
      </c>
      <c r="D1472">
        <v>8</v>
      </c>
      <c r="E1472">
        <v>4</v>
      </c>
      <c r="F1472">
        <v>4</v>
      </c>
      <c r="G1472" t="s">
        <v>1044</v>
      </c>
      <c r="H1472">
        <f>_xlfn.XLOOKUP(D1472, productos!$A$2:$A$150, productos!$D$2:$D$150, "No Encontrado", 0)</f>
        <v>16.21</v>
      </c>
      <c r="I1472">
        <f t="shared" si="22"/>
        <v>64.84</v>
      </c>
    </row>
    <row r="1473" spans="1:9" x14ac:dyDescent="0.25">
      <c r="A1473">
        <v>2338</v>
      </c>
      <c r="B1473" s="1">
        <v>45460</v>
      </c>
      <c r="C1473">
        <v>137</v>
      </c>
      <c r="D1473">
        <v>29</v>
      </c>
      <c r="E1473">
        <v>6</v>
      </c>
      <c r="F1473">
        <v>3</v>
      </c>
      <c r="G1473" t="s">
        <v>1045</v>
      </c>
      <c r="H1473">
        <f>_xlfn.XLOOKUP(D1473, productos!$A$2:$A$150, productos!$D$2:$D$150, "No Encontrado", 0)</f>
        <v>11.54</v>
      </c>
      <c r="I1473">
        <f t="shared" si="22"/>
        <v>69.239999999999995</v>
      </c>
    </row>
    <row r="1474" spans="1:9" x14ac:dyDescent="0.25">
      <c r="A1474">
        <v>2658</v>
      </c>
      <c r="B1474" s="1">
        <v>45460</v>
      </c>
      <c r="C1474">
        <v>235</v>
      </c>
      <c r="D1474">
        <v>36</v>
      </c>
      <c r="E1474">
        <v>6</v>
      </c>
      <c r="F1474">
        <v>3</v>
      </c>
      <c r="G1474" t="s">
        <v>1044</v>
      </c>
      <c r="H1474">
        <f>_xlfn.XLOOKUP(D1474, productos!$A$2:$A$150, productos!$D$2:$D$150, "No Encontrado", 0)</f>
        <v>3.25</v>
      </c>
      <c r="I1474">
        <f t="shared" si="22"/>
        <v>19.5</v>
      </c>
    </row>
    <row r="1475" spans="1:9" x14ac:dyDescent="0.25">
      <c r="A1475">
        <v>2828</v>
      </c>
      <c r="B1475" s="1">
        <v>45460</v>
      </c>
      <c r="C1475">
        <v>233</v>
      </c>
      <c r="D1475">
        <v>18</v>
      </c>
      <c r="E1475">
        <v>6</v>
      </c>
      <c r="F1475">
        <v>4</v>
      </c>
      <c r="G1475" t="s">
        <v>1044</v>
      </c>
      <c r="H1475">
        <f>_xlfn.XLOOKUP(D1475, productos!$A$2:$A$150, productos!$D$2:$D$150, "No Encontrado", 0)</f>
        <v>7.25</v>
      </c>
      <c r="I1475">
        <f t="shared" ref="I1475:I1538" si="23">E1475*H1475</f>
        <v>43.5</v>
      </c>
    </row>
    <row r="1476" spans="1:9" x14ac:dyDescent="0.25">
      <c r="A1476">
        <v>450</v>
      </c>
      <c r="B1476" s="1">
        <v>45461</v>
      </c>
      <c r="C1476">
        <v>235</v>
      </c>
      <c r="D1476">
        <v>4</v>
      </c>
      <c r="E1476">
        <v>5</v>
      </c>
      <c r="F1476">
        <v>5</v>
      </c>
      <c r="G1476" t="s">
        <v>1044</v>
      </c>
      <c r="H1476">
        <f>_xlfn.XLOOKUP(D1476, productos!$A$2:$A$150, productos!$D$2:$D$150, "No Encontrado", 0)</f>
        <v>19.23</v>
      </c>
      <c r="I1476">
        <f t="shared" si="23"/>
        <v>96.15</v>
      </c>
    </row>
    <row r="1477" spans="1:9" x14ac:dyDescent="0.25">
      <c r="A1477">
        <v>628</v>
      </c>
      <c r="B1477" s="1">
        <v>45461</v>
      </c>
      <c r="C1477">
        <v>245</v>
      </c>
      <c r="D1477">
        <v>38</v>
      </c>
      <c r="E1477">
        <v>1</v>
      </c>
      <c r="F1477">
        <v>4</v>
      </c>
      <c r="G1477" t="s">
        <v>1044</v>
      </c>
      <c r="H1477">
        <f>_xlfn.XLOOKUP(D1477, productos!$A$2:$A$150, productos!$D$2:$D$150, "No Encontrado", 0)</f>
        <v>6.21</v>
      </c>
      <c r="I1477">
        <f t="shared" si="23"/>
        <v>6.21</v>
      </c>
    </row>
    <row r="1478" spans="1:9" x14ac:dyDescent="0.25">
      <c r="A1478">
        <v>730</v>
      </c>
      <c r="B1478" s="1">
        <v>45461</v>
      </c>
      <c r="C1478">
        <v>201</v>
      </c>
      <c r="D1478">
        <v>26</v>
      </c>
      <c r="E1478">
        <v>6</v>
      </c>
      <c r="F1478">
        <v>1</v>
      </c>
      <c r="G1478" t="s">
        <v>1044</v>
      </c>
      <c r="H1478">
        <f>_xlfn.XLOOKUP(D1478, productos!$A$2:$A$150, productos!$D$2:$D$150, "No Encontrado", 0)</f>
        <v>9.5399999999999991</v>
      </c>
      <c r="I1478">
        <f t="shared" si="23"/>
        <v>57.239999999999995</v>
      </c>
    </row>
    <row r="1479" spans="1:9" x14ac:dyDescent="0.25">
      <c r="A1479">
        <v>928</v>
      </c>
      <c r="B1479" s="1">
        <v>45461</v>
      </c>
      <c r="C1479">
        <v>152</v>
      </c>
      <c r="D1479">
        <v>3</v>
      </c>
      <c r="E1479">
        <v>6</v>
      </c>
      <c r="F1479">
        <v>4</v>
      </c>
      <c r="G1479" t="s">
        <v>1044</v>
      </c>
      <c r="H1479">
        <f>_xlfn.XLOOKUP(D1479, productos!$A$2:$A$150, productos!$D$2:$D$150, "No Encontrado", 0)</f>
        <v>17.23</v>
      </c>
      <c r="I1479">
        <f t="shared" si="23"/>
        <v>103.38</v>
      </c>
    </row>
    <row r="1480" spans="1:9" x14ac:dyDescent="0.25">
      <c r="A1480">
        <v>1341</v>
      </c>
      <c r="B1480" s="1">
        <v>45461</v>
      </c>
      <c r="C1480">
        <v>133</v>
      </c>
      <c r="D1480">
        <v>15</v>
      </c>
      <c r="E1480">
        <v>5</v>
      </c>
      <c r="F1480">
        <v>1</v>
      </c>
      <c r="G1480" t="s">
        <v>1045</v>
      </c>
      <c r="H1480">
        <f>_xlfn.XLOOKUP(D1480, productos!$A$2:$A$150, productos!$D$2:$D$150, "No Encontrado", 0)</f>
        <v>3.51</v>
      </c>
      <c r="I1480">
        <f t="shared" si="23"/>
        <v>17.549999999999997</v>
      </c>
    </row>
    <row r="1481" spans="1:9" x14ac:dyDescent="0.25">
      <c r="A1481">
        <v>2050</v>
      </c>
      <c r="B1481" s="1">
        <v>45461</v>
      </c>
      <c r="C1481">
        <v>58</v>
      </c>
      <c r="D1481">
        <v>24</v>
      </c>
      <c r="E1481">
        <v>4</v>
      </c>
      <c r="F1481">
        <v>2</v>
      </c>
      <c r="G1481" t="s">
        <v>1044</v>
      </c>
      <c r="H1481">
        <f>_xlfn.XLOOKUP(D1481, productos!$A$2:$A$150, productos!$D$2:$D$150, "No Encontrado", 0)</f>
        <v>13.54</v>
      </c>
      <c r="I1481">
        <f t="shared" si="23"/>
        <v>54.16</v>
      </c>
    </row>
    <row r="1482" spans="1:9" x14ac:dyDescent="0.25">
      <c r="A1482">
        <v>343</v>
      </c>
      <c r="B1482" s="1">
        <v>45462</v>
      </c>
      <c r="C1482">
        <v>14</v>
      </c>
      <c r="D1482">
        <v>29</v>
      </c>
      <c r="E1482">
        <v>1</v>
      </c>
      <c r="F1482">
        <v>4</v>
      </c>
      <c r="G1482" t="s">
        <v>1044</v>
      </c>
      <c r="H1482">
        <f>_xlfn.XLOOKUP(D1482, productos!$A$2:$A$150, productos!$D$2:$D$150, "No Encontrado", 0)</f>
        <v>11.54</v>
      </c>
      <c r="I1482">
        <f t="shared" si="23"/>
        <v>11.54</v>
      </c>
    </row>
    <row r="1483" spans="1:9" x14ac:dyDescent="0.25">
      <c r="A1483">
        <v>861</v>
      </c>
      <c r="B1483" s="1">
        <v>45462</v>
      </c>
      <c r="C1483">
        <v>34</v>
      </c>
      <c r="D1483">
        <v>23</v>
      </c>
      <c r="E1483">
        <v>4</v>
      </c>
      <c r="F1483">
        <v>5</v>
      </c>
      <c r="G1483" t="s">
        <v>1044</v>
      </c>
      <c r="H1483">
        <f>_xlfn.XLOOKUP(D1483, productos!$A$2:$A$150, productos!$D$2:$D$150, "No Encontrado", 0)</f>
        <v>8.23</v>
      </c>
      <c r="I1483">
        <f t="shared" si="23"/>
        <v>32.92</v>
      </c>
    </row>
    <row r="1484" spans="1:9" x14ac:dyDescent="0.25">
      <c r="A1484">
        <v>865</v>
      </c>
      <c r="B1484" s="1">
        <v>45462</v>
      </c>
      <c r="C1484">
        <v>60</v>
      </c>
      <c r="D1484">
        <v>2</v>
      </c>
      <c r="E1484">
        <v>5</v>
      </c>
      <c r="F1484">
        <v>1</v>
      </c>
      <c r="G1484" t="s">
        <v>1044</v>
      </c>
      <c r="H1484">
        <f>_xlfn.XLOOKUP(D1484, productos!$A$2:$A$150, productos!$D$2:$D$150, "No Encontrado", 0)</f>
        <v>5.21</v>
      </c>
      <c r="I1484">
        <f t="shared" si="23"/>
        <v>26.05</v>
      </c>
    </row>
    <row r="1485" spans="1:9" x14ac:dyDescent="0.25">
      <c r="A1485">
        <v>1124</v>
      </c>
      <c r="B1485" s="1">
        <v>45462</v>
      </c>
      <c r="C1485">
        <v>232</v>
      </c>
      <c r="D1485">
        <v>7</v>
      </c>
      <c r="E1485">
        <v>3</v>
      </c>
      <c r="F1485">
        <v>3</v>
      </c>
      <c r="G1485" t="s">
        <v>1044</v>
      </c>
      <c r="H1485">
        <f>_xlfn.XLOOKUP(D1485, productos!$A$2:$A$150, productos!$D$2:$D$150, "No Encontrado", 0)</f>
        <v>11.25</v>
      </c>
      <c r="I1485">
        <f t="shared" si="23"/>
        <v>33.75</v>
      </c>
    </row>
    <row r="1486" spans="1:9" x14ac:dyDescent="0.25">
      <c r="A1486">
        <v>1355</v>
      </c>
      <c r="B1486" s="1">
        <v>45462</v>
      </c>
      <c r="C1486">
        <v>106</v>
      </c>
      <c r="D1486">
        <v>22</v>
      </c>
      <c r="E1486">
        <v>2</v>
      </c>
      <c r="F1486">
        <v>1</v>
      </c>
      <c r="G1486" t="s">
        <v>1044</v>
      </c>
      <c r="H1486">
        <f>_xlfn.XLOOKUP(D1486, productos!$A$2:$A$150, productos!$D$2:$D$150, "No Encontrado", 0)</f>
        <v>4.21</v>
      </c>
      <c r="I1486">
        <f t="shared" si="23"/>
        <v>8.42</v>
      </c>
    </row>
    <row r="1487" spans="1:9" x14ac:dyDescent="0.25">
      <c r="A1487">
        <v>1530</v>
      </c>
      <c r="B1487" s="1">
        <v>45462</v>
      </c>
      <c r="C1487">
        <v>2</v>
      </c>
      <c r="D1487">
        <v>34</v>
      </c>
      <c r="E1487">
        <v>4</v>
      </c>
      <c r="F1487">
        <v>4</v>
      </c>
      <c r="G1487" t="s">
        <v>1044</v>
      </c>
      <c r="H1487">
        <f>_xlfn.XLOOKUP(D1487, productos!$A$2:$A$150, productos!$D$2:$D$150, "No Encontrado", 0)</f>
        <v>5.45</v>
      </c>
      <c r="I1487">
        <f t="shared" si="23"/>
        <v>21.8</v>
      </c>
    </row>
    <row r="1488" spans="1:9" x14ac:dyDescent="0.25">
      <c r="A1488">
        <v>2178</v>
      </c>
      <c r="B1488" s="1">
        <v>45462</v>
      </c>
      <c r="C1488">
        <v>54</v>
      </c>
      <c r="D1488">
        <v>7</v>
      </c>
      <c r="E1488">
        <v>2</v>
      </c>
      <c r="F1488">
        <v>4</v>
      </c>
      <c r="G1488" t="s">
        <v>1044</v>
      </c>
      <c r="H1488">
        <f>_xlfn.XLOOKUP(D1488, productos!$A$2:$A$150, productos!$D$2:$D$150, "No Encontrado", 0)</f>
        <v>11.25</v>
      </c>
      <c r="I1488">
        <f t="shared" si="23"/>
        <v>22.5</v>
      </c>
    </row>
    <row r="1489" spans="1:9" x14ac:dyDescent="0.25">
      <c r="A1489">
        <v>2351</v>
      </c>
      <c r="B1489" s="1">
        <v>45462</v>
      </c>
      <c r="C1489">
        <v>114</v>
      </c>
      <c r="D1489">
        <v>3</v>
      </c>
      <c r="E1489">
        <v>2</v>
      </c>
      <c r="F1489">
        <v>4</v>
      </c>
      <c r="G1489" t="s">
        <v>1044</v>
      </c>
      <c r="H1489">
        <f>_xlfn.XLOOKUP(D1489, productos!$A$2:$A$150, productos!$D$2:$D$150, "No Encontrado", 0)</f>
        <v>17.23</v>
      </c>
      <c r="I1489">
        <f t="shared" si="23"/>
        <v>34.46</v>
      </c>
    </row>
    <row r="1490" spans="1:9" x14ac:dyDescent="0.25">
      <c r="A1490">
        <v>330</v>
      </c>
      <c r="B1490" s="1">
        <v>45463</v>
      </c>
      <c r="C1490">
        <v>63</v>
      </c>
      <c r="D1490">
        <v>13</v>
      </c>
      <c r="E1490">
        <v>3</v>
      </c>
      <c r="F1490">
        <v>1</v>
      </c>
      <c r="G1490" t="s">
        <v>1044</v>
      </c>
      <c r="H1490">
        <f>_xlfn.XLOOKUP(D1490, productos!$A$2:$A$150, productos!$D$2:$D$150, "No Encontrado", 0)</f>
        <v>12.56</v>
      </c>
      <c r="I1490">
        <f t="shared" si="23"/>
        <v>37.68</v>
      </c>
    </row>
    <row r="1491" spans="1:9" x14ac:dyDescent="0.25">
      <c r="A1491">
        <v>1509</v>
      </c>
      <c r="B1491" s="1">
        <v>45463</v>
      </c>
      <c r="C1491">
        <v>36</v>
      </c>
      <c r="D1491">
        <v>18</v>
      </c>
      <c r="E1491">
        <v>5</v>
      </c>
      <c r="F1491">
        <v>4</v>
      </c>
      <c r="G1491" t="s">
        <v>1044</v>
      </c>
      <c r="H1491">
        <f>_xlfn.XLOOKUP(D1491, productos!$A$2:$A$150, productos!$D$2:$D$150, "No Encontrado", 0)</f>
        <v>7.25</v>
      </c>
      <c r="I1491">
        <f t="shared" si="23"/>
        <v>36.25</v>
      </c>
    </row>
    <row r="1492" spans="1:9" x14ac:dyDescent="0.25">
      <c r="A1492">
        <v>1954</v>
      </c>
      <c r="B1492" s="1">
        <v>45463</v>
      </c>
      <c r="C1492">
        <v>120</v>
      </c>
      <c r="D1492">
        <v>17</v>
      </c>
      <c r="E1492">
        <v>4</v>
      </c>
      <c r="F1492">
        <v>5</v>
      </c>
      <c r="G1492" t="s">
        <v>1044</v>
      </c>
      <c r="H1492">
        <f>_xlfn.XLOOKUP(D1492, productos!$A$2:$A$150, productos!$D$2:$D$150, "No Encontrado", 0)</f>
        <v>6.54</v>
      </c>
      <c r="I1492">
        <f t="shared" si="23"/>
        <v>26.16</v>
      </c>
    </row>
    <row r="1493" spans="1:9" x14ac:dyDescent="0.25">
      <c r="A1493">
        <v>2023</v>
      </c>
      <c r="B1493" s="1">
        <v>45463</v>
      </c>
      <c r="C1493">
        <v>280</v>
      </c>
      <c r="D1493">
        <v>24</v>
      </c>
      <c r="E1493">
        <v>2</v>
      </c>
      <c r="F1493">
        <v>1</v>
      </c>
      <c r="G1493" t="s">
        <v>1044</v>
      </c>
      <c r="H1493">
        <f>_xlfn.XLOOKUP(D1493, productos!$A$2:$A$150, productos!$D$2:$D$150, "No Encontrado", 0)</f>
        <v>13.54</v>
      </c>
      <c r="I1493">
        <f t="shared" si="23"/>
        <v>27.08</v>
      </c>
    </row>
    <row r="1494" spans="1:9" x14ac:dyDescent="0.25">
      <c r="A1494">
        <v>2257</v>
      </c>
      <c r="B1494" s="1">
        <v>45463</v>
      </c>
      <c r="C1494">
        <v>137</v>
      </c>
      <c r="D1494">
        <v>15</v>
      </c>
      <c r="E1494">
        <v>5</v>
      </c>
      <c r="F1494">
        <v>3</v>
      </c>
      <c r="G1494" t="s">
        <v>1044</v>
      </c>
      <c r="H1494">
        <f>_xlfn.XLOOKUP(D1494, productos!$A$2:$A$150, productos!$D$2:$D$150, "No Encontrado", 0)</f>
        <v>3.51</v>
      </c>
      <c r="I1494">
        <f t="shared" si="23"/>
        <v>17.549999999999997</v>
      </c>
    </row>
    <row r="1495" spans="1:9" x14ac:dyDescent="0.25">
      <c r="A1495">
        <v>2354</v>
      </c>
      <c r="B1495" s="1">
        <v>45463</v>
      </c>
      <c r="C1495">
        <v>20</v>
      </c>
      <c r="D1495">
        <v>15</v>
      </c>
      <c r="E1495">
        <v>3</v>
      </c>
      <c r="F1495">
        <v>5</v>
      </c>
      <c r="G1495" t="s">
        <v>1044</v>
      </c>
      <c r="H1495">
        <f>_xlfn.XLOOKUP(D1495, productos!$A$2:$A$150, productos!$D$2:$D$150, "No Encontrado", 0)</f>
        <v>3.51</v>
      </c>
      <c r="I1495">
        <f t="shared" si="23"/>
        <v>10.53</v>
      </c>
    </row>
    <row r="1496" spans="1:9" x14ac:dyDescent="0.25">
      <c r="A1496">
        <v>2492</v>
      </c>
      <c r="B1496" s="1">
        <v>45463</v>
      </c>
      <c r="C1496">
        <v>68</v>
      </c>
      <c r="D1496">
        <v>31</v>
      </c>
      <c r="E1496">
        <v>2</v>
      </c>
      <c r="F1496">
        <v>3</v>
      </c>
      <c r="G1496" t="s">
        <v>1045</v>
      </c>
      <c r="H1496">
        <f>_xlfn.XLOOKUP(D1496, productos!$A$2:$A$150, productos!$D$2:$D$150, "No Encontrado", 0)</f>
        <v>5.24</v>
      </c>
      <c r="I1496">
        <f t="shared" si="23"/>
        <v>10.48</v>
      </c>
    </row>
    <row r="1497" spans="1:9" x14ac:dyDescent="0.25">
      <c r="A1497">
        <v>2636</v>
      </c>
      <c r="B1497" s="1">
        <v>45463</v>
      </c>
      <c r="C1497">
        <v>88</v>
      </c>
      <c r="D1497">
        <v>19</v>
      </c>
      <c r="E1497">
        <v>4</v>
      </c>
      <c r="F1497">
        <v>3</v>
      </c>
      <c r="G1497" t="s">
        <v>1044</v>
      </c>
      <c r="H1497">
        <f>_xlfn.XLOOKUP(D1497, productos!$A$2:$A$150, productos!$D$2:$D$150, "No Encontrado", 0)</f>
        <v>6.54</v>
      </c>
      <c r="I1497">
        <f t="shared" si="23"/>
        <v>26.16</v>
      </c>
    </row>
    <row r="1498" spans="1:9" x14ac:dyDescent="0.25">
      <c r="A1498">
        <v>950</v>
      </c>
      <c r="B1498" s="1">
        <v>45464</v>
      </c>
      <c r="C1498">
        <v>119</v>
      </c>
      <c r="D1498">
        <v>33</v>
      </c>
      <c r="E1498">
        <v>6</v>
      </c>
      <c r="F1498">
        <v>2</v>
      </c>
      <c r="G1498" t="s">
        <v>1045</v>
      </c>
      <c r="H1498">
        <f>_xlfn.XLOOKUP(D1498, productos!$A$2:$A$150, productos!$D$2:$D$150, "No Encontrado", 0)</f>
        <v>8.5399999999999991</v>
      </c>
      <c r="I1498">
        <f t="shared" si="23"/>
        <v>51.239999999999995</v>
      </c>
    </row>
    <row r="1499" spans="1:9" x14ac:dyDescent="0.25">
      <c r="A1499">
        <v>1534</v>
      </c>
      <c r="B1499" s="1">
        <v>45464</v>
      </c>
      <c r="C1499">
        <v>12</v>
      </c>
      <c r="D1499">
        <v>5</v>
      </c>
      <c r="E1499">
        <v>2</v>
      </c>
      <c r="F1499">
        <v>5</v>
      </c>
      <c r="G1499" t="s">
        <v>1044</v>
      </c>
      <c r="H1499">
        <f>_xlfn.XLOOKUP(D1499, productos!$A$2:$A$150, productos!$D$2:$D$150, "No Encontrado", 0)</f>
        <v>5.65</v>
      </c>
      <c r="I1499">
        <f t="shared" si="23"/>
        <v>11.3</v>
      </c>
    </row>
    <row r="1500" spans="1:9" x14ac:dyDescent="0.25">
      <c r="A1500">
        <v>1583</v>
      </c>
      <c r="B1500" s="1">
        <v>45464</v>
      </c>
      <c r="C1500">
        <v>53</v>
      </c>
      <c r="D1500">
        <v>30</v>
      </c>
      <c r="E1500">
        <v>2</v>
      </c>
      <c r="F1500">
        <v>1</v>
      </c>
      <c r="G1500" t="s">
        <v>1044</v>
      </c>
      <c r="H1500">
        <f>_xlfn.XLOOKUP(D1500, productos!$A$2:$A$150, productos!$D$2:$D$150, "No Encontrado", 0)</f>
        <v>13.54</v>
      </c>
      <c r="I1500">
        <f t="shared" si="23"/>
        <v>27.08</v>
      </c>
    </row>
    <row r="1501" spans="1:9" x14ac:dyDescent="0.25">
      <c r="A1501">
        <v>1890</v>
      </c>
      <c r="B1501" s="1">
        <v>45464</v>
      </c>
      <c r="C1501">
        <v>6</v>
      </c>
      <c r="D1501">
        <v>3</v>
      </c>
      <c r="E1501">
        <v>1</v>
      </c>
      <c r="F1501">
        <v>5</v>
      </c>
      <c r="G1501" t="s">
        <v>1044</v>
      </c>
      <c r="H1501">
        <f>_xlfn.XLOOKUP(D1501, productos!$A$2:$A$150, productos!$D$2:$D$150, "No Encontrado", 0)</f>
        <v>17.23</v>
      </c>
      <c r="I1501">
        <f t="shared" si="23"/>
        <v>17.23</v>
      </c>
    </row>
    <row r="1502" spans="1:9" x14ac:dyDescent="0.25">
      <c r="A1502">
        <v>1945</v>
      </c>
      <c r="B1502" s="1">
        <v>45464</v>
      </c>
      <c r="C1502">
        <v>190</v>
      </c>
      <c r="D1502">
        <v>35</v>
      </c>
      <c r="E1502">
        <v>3</v>
      </c>
      <c r="F1502">
        <v>1</v>
      </c>
      <c r="G1502" t="s">
        <v>1044</v>
      </c>
      <c r="H1502">
        <f>_xlfn.XLOOKUP(D1502, productos!$A$2:$A$150, productos!$D$2:$D$150, "No Encontrado", 0)</f>
        <v>4.25</v>
      </c>
      <c r="I1502">
        <f t="shared" si="23"/>
        <v>12.75</v>
      </c>
    </row>
    <row r="1503" spans="1:9" x14ac:dyDescent="0.25">
      <c r="A1503">
        <v>1987</v>
      </c>
      <c r="B1503" s="1">
        <v>45464</v>
      </c>
      <c r="C1503">
        <v>90</v>
      </c>
      <c r="D1503">
        <v>15</v>
      </c>
      <c r="E1503">
        <v>4</v>
      </c>
      <c r="F1503">
        <v>4</v>
      </c>
      <c r="G1503" t="s">
        <v>1044</v>
      </c>
      <c r="H1503">
        <f>_xlfn.XLOOKUP(D1503, productos!$A$2:$A$150, productos!$D$2:$D$150, "No Encontrado", 0)</f>
        <v>3.51</v>
      </c>
      <c r="I1503">
        <f t="shared" si="23"/>
        <v>14.04</v>
      </c>
    </row>
    <row r="1504" spans="1:9" x14ac:dyDescent="0.25">
      <c r="A1504">
        <v>2068</v>
      </c>
      <c r="B1504" s="1">
        <v>45464</v>
      </c>
      <c r="C1504">
        <v>224</v>
      </c>
      <c r="D1504">
        <v>27</v>
      </c>
      <c r="E1504">
        <v>6</v>
      </c>
      <c r="F1504">
        <v>5</v>
      </c>
      <c r="G1504" t="s">
        <v>1044</v>
      </c>
      <c r="H1504">
        <f>_xlfn.XLOOKUP(D1504, productos!$A$2:$A$150, productos!$D$2:$D$150, "No Encontrado", 0)</f>
        <v>6.21</v>
      </c>
      <c r="I1504">
        <f t="shared" si="23"/>
        <v>37.26</v>
      </c>
    </row>
    <row r="1505" spans="1:9" x14ac:dyDescent="0.25">
      <c r="A1505">
        <v>2750</v>
      </c>
      <c r="B1505" s="1">
        <v>45464</v>
      </c>
      <c r="C1505">
        <v>3</v>
      </c>
      <c r="D1505">
        <v>22</v>
      </c>
      <c r="E1505">
        <v>4</v>
      </c>
      <c r="F1505">
        <v>1</v>
      </c>
      <c r="G1505" t="s">
        <v>1044</v>
      </c>
      <c r="H1505">
        <f>_xlfn.XLOOKUP(D1505, productos!$A$2:$A$150, productos!$D$2:$D$150, "No Encontrado", 0)</f>
        <v>4.21</v>
      </c>
      <c r="I1505">
        <f t="shared" si="23"/>
        <v>16.84</v>
      </c>
    </row>
    <row r="1506" spans="1:9" x14ac:dyDescent="0.25">
      <c r="A1506">
        <v>2956</v>
      </c>
      <c r="B1506" s="1">
        <v>45464</v>
      </c>
      <c r="C1506">
        <v>307</v>
      </c>
      <c r="D1506">
        <v>26</v>
      </c>
      <c r="E1506">
        <v>1</v>
      </c>
      <c r="F1506">
        <v>3</v>
      </c>
      <c r="G1506" t="s">
        <v>1044</v>
      </c>
      <c r="H1506">
        <f>_xlfn.XLOOKUP(D1506, productos!$A$2:$A$150, productos!$D$2:$D$150, "No Encontrado", 0)</f>
        <v>9.5399999999999991</v>
      </c>
      <c r="I1506">
        <f t="shared" si="23"/>
        <v>9.5399999999999991</v>
      </c>
    </row>
    <row r="1507" spans="1:9" x14ac:dyDescent="0.25">
      <c r="A1507">
        <v>533</v>
      </c>
      <c r="B1507" s="1">
        <v>45465</v>
      </c>
      <c r="C1507">
        <v>83</v>
      </c>
      <c r="D1507">
        <v>4</v>
      </c>
      <c r="E1507">
        <v>2</v>
      </c>
      <c r="F1507">
        <v>5</v>
      </c>
      <c r="G1507" t="s">
        <v>1044</v>
      </c>
      <c r="H1507">
        <f>_xlfn.XLOOKUP(D1507, productos!$A$2:$A$150, productos!$D$2:$D$150, "No Encontrado", 0)</f>
        <v>19.23</v>
      </c>
      <c r="I1507">
        <f t="shared" si="23"/>
        <v>38.46</v>
      </c>
    </row>
    <row r="1508" spans="1:9" x14ac:dyDescent="0.25">
      <c r="A1508">
        <v>743</v>
      </c>
      <c r="B1508" s="1">
        <v>45465</v>
      </c>
      <c r="C1508">
        <v>271</v>
      </c>
      <c r="D1508">
        <v>5</v>
      </c>
      <c r="E1508">
        <v>5</v>
      </c>
      <c r="F1508">
        <v>5</v>
      </c>
      <c r="G1508" t="s">
        <v>1044</v>
      </c>
      <c r="H1508">
        <f>_xlfn.XLOOKUP(D1508, productos!$A$2:$A$150, productos!$D$2:$D$150, "No Encontrado", 0)</f>
        <v>5.65</v>
      </c>
      <c r="I1508">
        <f t="shared" si="23"/>
        <v>28.25</v>
      </c>
    </row>
    <row r="1509" spans="1:9" x14ac:dyDescent="0.25">
      <c r="A1509">
        <v>1412</v>
      </c>
      <c r="B1509" s="1">
        <v>45465</v>
      </c>
      <c r="C1509">
        <v>60</v>
      </c>
      <c r="D1509">
        <v>28</v>
      </c>
      <c r="E1509">
        <v>2</v>
      </c>
      <c r="F1509">
        <v>5</v>
      </c>
      <c r="G1509" t="s">
        <v>1044</v>
      </c>
      <c r="H1509">
        <f>_xlfn.XLOOKUP(D1509, productos!$A$2:$A$150, productos!$D$2:$D$150, "No Encontrado", 0)</f>
        <v>9.4499999999999993</v>
      </c>
      <c r="I1509">
        <f t="shared" si="23"/>
        <v>18.899999999999999</v>
      </c>
    </row>
    <row r="1510" spans="1:9" x14ac:dyDescent="0.25">
      <c r="A1510">
        <v>1764</v>
      </c>
      <c r="B1510" s="1">
        <v>45465</v>
      </c>
      <c r="C1510">
        <v>268</v>
      </c>
      <c r="D1510">
        <v>7</v>
      </c>
      <c r="E1510">
        <v>4</v>
      </c>
      <c r="F1510">
        <v>4</v>
      </c>
      <c r="G1510" t="s">
        <v>1044</v>
      </c>
      <c r="H1510">
        <f>_xlfn.XLOOKUP(D1510, productos!$A$2:$A$150, productos!$D$2:$D$150, "No Encontrado", 0)</f>
        <v>11.25</v>
      </c>
      <c r="I1510">
        <f t="shared" si="23"/>
        <v>45</v>
      </c>
    </row>
    <row r="1511" spans="1:9" x14ac:dyDescent="0.25">
      <c r="A1511">
        <v>1843</v>
      </c>
      <c r="B1511" s="1">
        <v>45465</v>
      </c>
      <c r="C1511">
        <v>139</v>
      </c>
      <c r="D1511">
        <v>4</v>
      </c>
      <c r="E1511">
        <v>1</v>
      </c>
      <c r="F1511">
        <v>1</v>
      </c>
      <c r="G1511" t="s">
        <v>1044</v>
      </c>
      <c r="H1511">
        <f>_xlfn.XLOOKUP(D1511, productos!$A$2:$A$150, productos!$D$2:$D$150, "No Encontrado", 0)</f>
        <v>19.23</v>
      </c>
      <c r="I1511">
        <f t="shared" si="23"/>
        <v>19.23</v>
      </c>
    </row>
    <row r="1512" spans="1:9" x14ac:dyDescent="0.25">
      <c r="A1512">
        <v>2334</v>
      </c>
      <c r="B1512" s="1">
        <v>45465</v>
      </c>
      <c r="C1512">
        <v>190</v>
      </c>
      <c r="D1512">
        <v>2</v>
      </c>
      <c r="E1512">
        <v>2</v>
      </c>
      <c r="F1512">
        <v>1</v>
      </c>
      <c r="G1512" t="s">
        <v>1044</v>
      </c>
      <c r="H1512">
        <f>_xlfn.XLOOKUP(D1512, productos!$A$2:$A$150, productos!$D$2:$D$150, "No Encontrado", 0)</f>
        <v>5.21</v>
      </c>
      <c r="I1512">
        <f t="shared" si="23"/>
        <v>10.42</v>
      </c>
    </row>
    <row r="1513" spans="1:9" x14ac:dyDescent="0.25">
      <c r="A1513">
        <v>941</v>
      </c>
      <c r="B1513" s="1">
        <v>45466</v>
      </c>
      <c r="C1513">
        <v>146</v>
      </c>
      <c r="D1513">
        <v>13</v>
      </c>
      <c r="E1513">
        <v>6</v>
      </c>
      <c r="F1513">
        <v>4</v>
      </c>
      <c r="G1513" t="s">
        <v>1045</v>
      </c>
      <c r="H1513">
        <f>_xlfn.XLOOKUP(D1513, productos!$A$2:$A$150, productos!$D$2:$D$150, "No Encontrado", 0)</f>
        <v>12.56</v>
      </c>
      <c r="I1513">
        <f t="shared" si="23"/>
        <v>75.36</v>
      </c>
    </row>
    <row r="1514" spans="1:9" x14ac:dyDescent="0.25">
      <c r="A1514">
        <v>1117</v>
      </c>
      <c r="B1514" s="1">
        <v>45466</v>
      </c>
      <c r="C1514">
        <v>292</v>
      </c>
      <c r="D1514">
        <v>38</v>
      </c>
      <c r="E1514">
        <v>3</v>
      </c>
      <c r="F1514">
        <v>5</v>
      </c>
      <c r="G1514" t="s">
        <v>1044</v>
      </c>
      <c r="H1514">
        <f>_xlfn.XLOOKUP(D1514, productos!$A$2:$A$150, productos!$D$2:$D$150, "No Encontrado", 0)</f>
        <v>6.21</v>
      </c>
      <c r="I1514">
        <f t="shared" si="23"/>
        <v>18.63</v>
      </c>
    </row>
    <row r="1515" spans="1:9" x14ac:dyDescent="0.25">
      <c r="A1515">
        <v>1348</v>
      </c>
      <c r="B1515" s="1">
        <v>45466</v>
      </c>
      <c r="C1515">
        <v>151</v>
      </c>
      <c r="D1515">
        <v>20</v>
      </c>
      <c r="E1515">
        <v>3</v>
      </c>
      <c r="F1515">
        <v>4</v>
      </c>
      <c r="G1515" t="s">
        <v>1044</v>
      </c>
      <c r="H1515">
        <f>_xlfn.XLOOKUP(D1515, productos!$A$2:$A$150, productos!$D$2:$D$150, "No Encontrado", 0)</f>
        <v>4.25</v>
      </c>
      <c r="I1515">
        <f t="shared" si="23"/>
        <v>12.75</v>
      </c>
    </row>
    <row r="1516" spans="1:9" x14ac:dyDescent="0.25">
      <c r="A1516">
        <v>2163</v>
      </c>
      <c r="B1516" s="1">
        <v>45466</v>
      </c>
      <c r="C1516">
        <v>168</v>
      </c>
      <c r="D1516">
        <v>38</v>
      </c>
      <c r="E1516">
        <v>6</v>
      </c>
      <c r="F1516">
        <v>2</v>
      </c>
      <c r="G1516" t="s">
        <v>1044</v>
      </c>
      <c r="H1516">
        <f>_xlfn.XLOOKUP(D1516, productos!$A$2:$A$150, productos!$D$2:$D$150, "No Encontrado", 0)</f>
        <v>6.21</v>
      </c>
      <c r="I1516">
        <f t="shared" si="23"/>
        <v>37.26</v>
      </c>
    </row>
    <row r="1517" spans="1:9" x14ac:dyDescent="0.25">
      <c r="A1517">
        <v>2780</v>
      </c>
      <c r="B1517" s="1">
        <v>45466</v>
      </c>
      <c r="C1517">
        <v>216</v>
      </c>
      <c r="D1517">
        <v>1</v>
      </c>
      <c r="E1517">
        <v>5</v>
      </c>
      <c r="F1517">
        <v>2</v>
      </c>
      <c r="G1517" t="s">
        <v>1044</v>
      </c>
      <c r="H1517">
        <f>_xlfn.XLOOKUP(D1517, productos!$A$2:$A$150, productos!$D$2:$D$150, "No Encontrado", 0)</f>
        <v>12.24</v>
      </c>
      <c r="I1517">
        <f t="shared" si="23"/>
        <v>61.2</v>
      </c>
    </row>
    <row r="1518" spans="1:9" x14ac:dyDescent="0.25">
      <c r="A1518">
        <v>2806</v>
      </c>
      <c r="B1518" s="1">
        <v>45466</v>
      </c>
      <c r="C1518">
        <v>193</v>
      </c>
      <c r="D1518">
        <v>13</v>
      </c>
      <c r="E1518">
        <v>6</v>
      </c>
      <c r="F1518">
        <v>3</v>
      </c>
      <c r="G1518" t="s">
        <v>1044</v>
      </c>
      <c r="H1518">
        <f>_xlfn.XLOOKUP(D1518, productos!$A$2:$A$150, productos!$D$2:$D$150, "No Encontrado", 0)</f>
        <v>12.56</v>
      </c>
      <c r="I1518">
        <f t="shared" si="23"/>
        <v>75.36</v>
      </c>
    </row>
    <row r="1519" spans="1:9" x14ac:dyDescent="0.25">
      <c r="A1519">
        <v>375</v>
      </c>
      <c r="B1519" s="1">
        <v>45467</v>
      </c>
      <c r="C1519">
        <v>248</v>
      </c>
      <c r="D1519">
        <v>35</v>
      </c>
      <c r="E1519">
        <v>6</v>
      </c>
      <c r="F1519">
        <v>3</v>
      </c>
      <c r="G1519" t="s">
        <v>1044</v>
      </c>
      <c r="H1519">
        <f>_xlfn.XLOOKUP(D1519, productos!$A$2:$A$150, productos!$D$2:$D$150, "No Encontrado", 0)</f>
        <v>4.25</v>
      </c>
      <c r="I1519">
        <f t="shared" si="23"/>
        <v>25.5</v>
      </c>
    </row>
    <row r="1520" spans="1:9" x14ac:dyDescent="0.25">
      <c r="A1520">
        <v>445</v>
      </c>
      <c r="B1520" s="1">
        <v>45467</v>
      </c>
      <c r="C1520">
        <v>296</v>
      </c>
      <c r="D1520">
        <v>24</v>
      </c>
      <c r="E1520">
        <v>4</v>
      </c>
      <c r="F1520">
        <v>4</v>
      </c>
      <c r="G1520" t="s">
        <v>1044</v>
      </c>
      <c r="H1520">
        <f>_xlfn.XLOOKUP(D1520, productos!$A$2:$A$150, productos!$D$2:$D$150, "No Encontrado", 0)</f>
        <v>13.54</v>
      </c>
      <c r="I1520">
        <f t="shared" si="23"/>
        <v>54.16</v>
      </c>
    </row>
    <row r="1521" spans="1:9" x14ac:dyDescent="0.25">
      <c r="A1521">
        <v>595</v>
      </c>
      <c r="B1521" s="1">
        <v>45467</v>
      </c>
      <c r="C1521">
        <v>271</v>
      </c>
      <c r="D1521">
        <v>27</v>
      </c>
      <c r="E1521">
        <v>5</v>
      </c>
      <c r="F1521">
        <v>4</v>
      </c>
      <c r="G1521" t="s">
        <v>1044</v>
      </c>
      <c r="H1521">
        <f>_xlfn.XLOOKUP(D1521, productos!$A$2:$A$150, productos!$D$2:$D$150, "No Encontrado", 0)</f>
        <v>6.21</v>
      </c>
      <c r="I1521">
        <f t="shared" si="23"/>
        <v>31.05</v>
      </c>
    </row>
    <row r="1522" spans="1:9" x14ac:dyDescent="0.25">
      <c r="A1522">
        <v>1901</v>
      </c>
      <c r="B1522" s="1">
        <v>45467</v>
      </c>
      <c r="C1522">
        <v>53</v>
      </c>
      <c r="D1522">
        <v>1</v>
      </c>
      <c r="E1522">
        <v>3</v>
      </c>
      <c r="F1522">
        <v>3</v>
      </c>
      <c r="G1522" t="s">
        <v>1044</v>
      </c>
      <c r="H1522">
        <f>_xlfn.XLOOKUP(D1522, productos!$A$2:$A$150, productos!$D$2:$D$150, "No Encontrado", 0)</f>
        <v>12.24</v>
      </c>
      <c r="I1522">
        <f t="shared" si="23"/>
        <v>36.72</v>
      </c>
    </row>
    <row r="1523" spans="1:9" x14ac:dyDescent="0.25">
      <c r="A1523">
        <v>2373</v>
      </c>
      <c r="B1523" s="1">
        <v>45467</v>
      </c>
      <c r="C1523">
        <v>125</v>
      </c>
      <c r="D1523">
        <v>26</v>
      </c>
      <c r="E1523">
        <v>1</v>
      </c>
      <c r="F1523">
        <v>1</v>
      </c>
      <c r="G1523" t="s">
        <v>1045</v>
      </c>
      <c r="H1523">
        <f>_xlfn.XLOOKUP(D1523, productos!$A$2:$A$150, productos!$D$2:$D$150, "No Encontrado", 0)</f>
        <v>9.5399999999999991</v>
      </c>
      <c r="I1523">
        <f t="shared" si="23"/>
        <v>9.5399999999999991</v>
      </c>
    </row>
    <row r="1524" spans="1:9" x14ac:dyDescent="0.25">
      <c r="A1524">
        <v>2390</v>
      </c>
      <c r="B1524" s="1">
        <v>45467</v>
      </c>
      <c r="C1524">
        <v>159</v>
      </c>
      <c r="D1524">
        <v>8</v>
      </c>
      <c r="E1524">
        <v>2</v>
      </c>
      <c r="F1524">
        <v>4</v>
      </c>
      <c r="G1524" t="s">
        <v>1044</v>
      </c>
      <c r="H1524">
        <f>_xlfn.XLOOKUP(D1524, productos!$A$2:$A$150, productos!$D$2:$D$150, "No Encontrado", 0)</f>
        <v>16.21</v>
      </c>
      <c r="I1524">
        <f t="shared" si="23"/>
        <v>32.42</v>
      </c>
    </row>
    <row r="1525" spans="1:9" x14ac:dyDescent="0.25">
      <c r="A1525">
        <v>2477</v>
      </c>
      <c r="B1525" s="1">
        <v>45467</v>
      </c>
      <c r="C1525">
        <v>90</v>
      </c>
      <c r="D1525">
        <v>6</v>
      </c>
      <c r="E1525">
        <v>6</v>
      </c>
      <c r="F1525">
        <v>5</v>
      </c>
      <c r="G1525" t="s">
        <v>1044</v>
      </c>
      <c r="H1525">
        <f>_xlfn.XLOOKUP(D1525, productos!$A$2:$A$150, productos!$D$2:$D$150, "No Encontrado", 0)</f>
        <v>28.56</v>
      </c>
      <c r="I1525">
        <f t="shared" si="23"/>
        <v>171.35999999999999</v>
      </c>
    </row>
    <row r="1526" spans="1:9" x14ac:dyDescent="0.25">
      <c r="A1526">
        <v>376</v>
      </c>
      <c r="B1526" s="1">
        <v>45468</v>
      </c>
      <c r="C1526">
        <v>201</v>
      </c>
      <c r="D1526">
        <v>8</v>
      </c>
      <c r="E1526">
        <v>5</v>
      </c>
      <c r="F1526">
        <v>5</v>
      </c>
      <c r="G1526" t="s">
        <v>1044</v>
      </c>
      <c r="H1526">
        <f>_xlfn.XLOOKUP(D1526, productos!$A$2:$A$150, productos!$D$2:$D$150, "No Encontrado", 0)</f>
        <v>16.21</v>
      </c>
      <c r="I1526">
        <f t="shared" si="23"/>
        <v>81.050000000000011</v>
      </c>
    </row>
    <row r="1527" spans="1:9" x14ac:dyDescent="0.25">
      <c r="A1527">
        <v>1347</v>
      </c>
      <c r="B1527" s="1">
        <v>45468</v>
      </c>
      <c r="C1527">
        <v>223</v>
      </c>
      <c r="D1527">
        <v>1</v>
      </c>
      <c r="E1527">
        <v>6</v>
      </c>
      <c r="F1527">
        <v>5</v>
      </c>
      <c r="G1527" t="s">
        <v>1044</v>
      </c>
      <c r="H1527">
        <f>_xlfn.XLOOKUP(D1527, productos!$A$2:$A$150, productos!$D$2:$D$150, "No Encontrado", 0)</f>
        <v>12.24</v>
      </c>
      <c r="I1527">
        <f t="shared" si="23"/>
        <v>73.44</v>
      </c>
    </row>
    <row r="1528" spans="1:9" x14ac:dyDescent="0.25">
      <c r="A1528">
        <v>1588</v>
      </c>
      <c r="B1528" s="1">
        <v>45468</v>
      </c>
      <c r="C1528">
        <v>324</v>
      </c>
      <c r="D1528">
        <v>3</v>
      </c>
      <c r="E1528">
        <v>6</v>
      </c>
      <c r="F1528">
        <v>1</v>
      </c>
      <c r="G1528" t="s">
        <v>1044</v>
      </c>
      <c r="H1528">
        <f>_xlfn.XLOOKUP(D1528, productos!$A$2:$A$150, productos!$D$2:$D$150, "No Encontrado", 0)</f>
        <v>17.23</v>
      </c>
      <c r="I1528">
        <f t="shared" si="23"/>
        <v>103.38</v>
      </c>
    </row>
    <row r="1529" spans="1:9" x14ac:dyDescent="0.25">
      <c r="A1529">
        <v>1835</v>
      </c>
      <c r="B1529" s="1">
        <v>45468</v>
      </c>
      <c r="C1529">
        <v>100</v>
      </c>
      <c r="D1529">
        <v>26</v>
      </c>
      <c r="E1529">
        <v>4</v>
      </c>
      <c r="F1529">
        <v>5</v>
      </c>
      <c r="G1529" t="s">
        <v>1044</v>
      </c>
      <c r="H1529">
        <f>_xlfn.XLOOKUP(D1529, productos!$A$2:$A$150, productos!$D$2:$D$150, "No Encontrado", 0)</f>
        <v>9.5399999999999991</v>
      </c>
      <c r="I1529">
        <f t="shared" si="23"/>
        <v>38.159999999999997</v>
      </c>
    </row>
    <row r="1530" spans="1:9" x14ac:dyDescent="0.25">
      <c r="A1530">
        <v>2438</v>
      </c>
      <c r="B1530" s="1">
        <v>45468</v>
      </c>
      <c r="C1530">
        <v>287</v>
      </c>
      <c r="D1530">
        <v>14</v>
      </c>
      <c r="E1530">
        <v>1</v>
      </c>
      <c r="F1530">
        <v>5</v>
      </c>
      <c r="G1530" t="s">
        <v>1045</v>
      </c>
      <c r="H1530">
        <f>_xlfn.XLOOKUP(D1530, productos!$A$2:$A$150, productos!$D$2:$D$150, "No Encontrado", 0)</f>
        <v>12.36</v>
      </c>
      <c r="I1530">
        <f t="shared" si="23"/>
        <v>12.36</v>
      </c>
    </row>
    <row r="1531" spans="1:9" x14ac:dyDescent="0.25">
      <c r="A1531">
        <v>2552</v>
      </c>
      <c r="B1531" s="1">
        <v>45468</v>
      </c>
      <c r="C1531">
        <v>310</v>
      </c>
      <c r="D1531">
        <v>31</v>
      </c>
      <c r="E1531">
        <v>6</v>
      </c>
      <c r="F1531">
        <v>5</v>
      </c>
      <c r="G1531" t="s">
        <v>1044</v>
      </c>
      <c r="H1531">
        <f>_xlfn.XLOOKUP(D1531, productos!$A$2:$A$150, productos!$D$2:$D$150, "No Encontrado", 0)</f>
        <v>5.24</v>
      </c>
      <c r="I1531">
        <f t="shared" si="23"/>
        <v>31.44</v>
      </c>
    </row>
    <row r="1532" spans="1:9" x14ac:dyDescent="0.25">
      <c r="A1532">
        <v>2865</v>
      </c>
      <c r="B1532" s="1">
        <v>45468</v>
      </c>
      <c r="C1532">
        <v>265</v>
      </c>
      <c r="D1532">
        <v>22</v>
      </c>
      <c r="E1532">
        <v>2</v>
      </c>
      <c r="F1532">
        <v>4</v>
      </c>
      <c r="G1532" t="s">
        <v>1044</v>
      </c>
      <c r="H1532">
        <f>_xlfn.XLOOKUP(D1532, productos!$A$2:$A$150, productos!$D$2:$D$150, "No Encontrado", 0)</f>
        <v>4.21</v>
      </c>
      <c r="I1532">
        <f t="shared" si="23"/>
        <v>8.42</v>
      </c>
    </row>
    <row r="1533" spans="1:9" x14ac:dyDescent="0.25">
      <c r="A1533">
        <v>2931</v>
      </c>
      <c r="B1533" s="1">
        <v>45468</v>
      </c>
      <c r="C1533">
        <v>41</v>
      </c>
      <c r="D1533">
        <v>29</v>
      </c>
      <c r="E1533">
        <v>3</v>
      </c>
      <c r="F1533">
        <v>1</v>
      </c>
      <c r="G1533" t="s">
        <v>1044</v>
      </c>
      <c r="H1533">
        <f>_xlfn.XLOOKUP(D1533, productos!$A$2:$A$150, productos!$D$2:$D$150, "No Encontrado", 0)</f>
        <v>11.54</v>
      </c>
      <c r="I1533">
        <f t="shared" si="23"/>
        <v>34.619999999999997</v>
      </c>
    </row>
    <row r="1534" spans="1:9" x14ac:dyDescent="0.25">
      <c r="A1534">
        <v>2942</v>
      </c>
      <c r="B1534" s="1">
        <v>45468</v>
      </c>
      <c r="C1534">
        <v>215</v>
      </c>
      <c r="D1534">
        <v>28</v>
      </c>
      <c r="E1534">
        <v>4</v>
      </c>
      <c r="F1534">
        <v>3</v>
      </c>
      <c r="G1534" t="s">
        <v>1044</v>
      </c>
      <c r="H1534">
        <f>_xlfn.XLOOKUP(D1534, productos!$A$2:$A$150, productos!$D$2:$D$150, "No Encontrado", 0)</f>
        <v>9.4499999999999993</v>
      </c>
      <c r="I1534">
        <f t="shared" si="23"/>
        <v>37.799999999999997</v>
      </c>
    </row>
    <row r="1535" spans="1:9" x14ac:dyDescent="0.25">
      <c r="A1535">
        <v>570</v>
      </c>
      <c r="B1535" s="1">
        <v>45469</v>
      </c>
      <c r="C1535">
        <v>185</v>
      </c>
      <c r="D1535">
        <v>19</v>
      </c>
      <c r="E1535">
        <v>5</v>
      </c>
      <c r="F1535">
        <v>3</v>
      </c>
      <c r="G1535" t="s">
        <v>1044</v>
      </c>
      <c r="H1535">
        <f>_xlfn.XLOOKUP(D1535, productos!$A$2:$A$150, productos!$D$2:$D$150, "No Encontrado", 0)</f>
        <v>6.54</v>
      </c>
      <c r="I1535">
        <f t="shared" si="23"/>
        <v>32.700000000000003</v>
      </c>
    </row>
    <row r="1536" spans="1:9" x14ac:dyDescent="0.25">
      <c r="A1536">
        <v>2014</v>
      </c>
      <c r="B1536" s="1">
        <v>45469</v>
      </c>
      <c r="C1536">
        <v>229</v>
      </c>
      <c r="D1536">
        <v>35</v>
      </c>
      <c r="E1536">
        <v>4</v>
      </c>
      <c r="F1536">
        <v>2</v>
      </c>
      <c r="G1536" t="s">
        <v>1044</v>
      </c>
      <c r="H1536">
        <f>_xlfn.XLOOKUP(D1536, productos!$A$2:$A$150, productos!$D$2:$D$150, "No Encontrado", 0)</f>
        <v>4.25</v>
      </c>
      <c r="I1536">
        <f t="shared" si="23"/>
        <v>17</v>
      </c>
    </row>
    <row r="1537" spans="1:9" x14ac:dyDescent="0.25">
      <c r="A1537">
        <v>2633</v>
      </c>
      <c r="B1537" s="1">
        <v>45469</v>
      </c>
      <c r="C1537">
        <v>13</v>
      </c>
      <c r="D1537">
        <v>4</v>
      </c>
      <c r="E1537">
        <v>5</v>
      </c>
      <c r="F1537">
        <v>5</v>
      </c>
      <c r="G1537" t="s">
        <v>1044</v>
      </c>
      <c r="H1537">
        <f>_xlfn.XLOOKUP(D1537, productos!$A$2:$A$150, productos!$D$2:$D$150, "No Encontrado", 0)</f>
        <v>19.23</v>
      </c>
      <c r="I1537">
        <f t="shared" si="23"/>
        <v>96.15</v>
      </c>
    </row>
    <row r="1538" spans="1:9" x14ac:dyDescent="0.25">
      <c r="A1538">
        <v>2820</v>
      </c>
      <c r="B1538" s="1">
        <v>45469</v>
      </c>
      <c r="C1538">
        <v>258</v>
      </c>
      <c r="D1538">
        <v>14</v>
      </c>
      <c r="E1538">
        <v>2</v>
      </c>
      <c r="F1538">
        <v>4</v>
      </c>
      <c r="G1538" t="s">
        <v>1044</v>
      </c>
      <c r="H1538">
        <f>_xlfn.XLOOKUP(D1538, productos!$A$2:$A$150, productos!$D$2:$D$150, "No Encontrado", 0)</f>
        <v>12.36</v>
      </c>
      <c r="I1538">
        <f t="shared" si="23"/>
        <v>24.72</v>
      </c>
    </row>
    <row r="1539" spans="1:9" x14ac:dyDescent="0.25">
      <c r="A1539">
        <v>460</v>
      </c>
      <c r="B1539" s="1">
        <v>45470</v>
      </c>
      <c r="C1539">
        <v>166</v>
      </c>
      <c r="D1539">
        <v>27</v>
      </c>
      <c r="E1539">
        <v>3</v>
      </c>
      <c r="F1539">
        <v>1</v>
      </c>
      <c r="G1539" t="s">
        <v>1044</v>
      </c>
      <c r="H1539">
        <f>_xlfn.XLOOKUP(D1539, productos!$A$2:$A$150, productos!$D$2:$D$150, "No Encontrado", 0)</f>
        <v>6.21</v>
      </c>
      <c r="I1539">
        <f t="shared" ref="I1539:I1602" si="24">E1539*H1539</f>
        <v>18.63</v>
      </c>
    </row>
    <row r="1540" spans="1:9" x14ac:dyDescent="0.25">
      <c r="A1540">
        <v>578</v>
      </c>
      <c r="B1540" s="1">
        <v>45470</v>
      </c>
      <c r="C1540">
        <v>180</v>
      </c>
      <c r="D1540">
        <v>15</v>
      </c>
      <c r="E1540">
        <v>2</v>
      </c>
      <c r="F1540">
        <v>5</v>
      </c>
      <c r="G1540" t="s">
        <v>1044</v>
      </c>
      <c r="H1540">
        <f>_xlfn.XLOOKUP(D1540, productos!$A$2:$A$150, productos!$D$2:$D$150, "No Encontrado", 0)</f>
        <v>3.51</v>
      </c>
      <c r="I1540">
        <f t="shared" si="24"/>
        <v>7.02</v>
      </c>
    </row>
    <row r="1541" spans="1:9" x14ac:dyDescent="0.25">
      <c r="A1541">
        <v>750</v>
      </c>
      <c r="B1541" s="1">
        <v>45470</v>
      </c>
      <c r="C1541">
        <v>198</v>
      </c>
      <c r="D1541">
        <v>30</v>
      </c>
      <c r="E1541">
        <v>2</v>
      </c>
      <c r="F1541">
        <v>5</v>
      </c>
      <c r="G1541" t="s">
        <v>1044</v>
      </c>
      <c r="H1541">
        <f>_xlfn.XLOOKUP(D1541, productos!$A$2:$A$150, productos!$D$2:$D$150, "No Encontrado", 0)</f>
        <v>13.54</v>
      </c>
      <c r="I1541">
        <f t="shared" si="24"/>
        <v>27.08</v>
      </c>
    </row>
    <row r="1542" spans="1:9" x14ac:dyDescent="0.25">
      <c r="A1542">
        <v>2268</v>
      </c>
      <c r="B1542" s="1">
        <v>45470</v>
      </c>
      <c r="C1542">
        <v>260</v>
      </c>
      <c r="D1542">
        <v>4</v>
      </c>
      <c r="E1542">
        <v>6</v>
      </c>
      <c r="F1542">
        <v>4</v>
      </c>
      <c r="G1542" t="s">
        <v>1044</v>
      </c>
      <c r="H1542">
        <f>_xlfn.XLOOKUP(D1542, productos!$A$2:$A$150, productos!$D$2:$D$150, "No Encontrado", 0)</f>
        <v>19.23</v>
      </c>
      <c r="I1542">
        <f t="shared" si="24"/>
        <v>115.38</v>
      </c>
    </row>
    <row r="1543" spans="1:9" x14ac:dyDescent="0.25">
      <c r="A1543">
        <v>2411</v>
      </c>
      <c r="B1543" s="1">
        <v>45470</v>
      </c>
      <c r="C1543">
        <v>178</v>
      </c>
      <c r="D1543">
        <v>24</v>
      </c>
      <c r="E1543">
        <v>2</v>
      </c>
      <c r="F1543">
        <v>5</v>
      </c>
      <c r="G1543" t="s">
        <v>1044</v>
      </c>
      <c r="H1543">
        <f>_xlfn.XLOOKUP(D1543, productos!$A$2:$A$150, productos!$D$2:$D$150, "No Encontrado", 0)</f>
        <v>13.54</v>
      </c>
      <c r="I1543">
        <f t="shared" si="24"/>
        <v>27.08</v>
      </c>
    </row>
    <row r="1544" spans="1:9" x14ac:dyDescent="0.25">
      <c r="A1544">
        <v>2516</v>
      </c>
      <c r="B1544" s="1">
        <v>45470</v>
      </c>
      <c r="C1544">
        <v>268</v>
      </c>
      <c r="D1544">
        <v>17</v>
      </c>
      <c r="E1544">
        <v>4</v>
      </c>
      <c r="F1544">
        <v>5</v>
      </c>
      <c r="G1544" t="s">
        <v>1044</v>
      </c>
      <c r="H1544">
        <f>_xlfn.XLOOKUP(D1544, productos!$A$2:$A$150, productos!$D$2:$D$150, "No Encontrado", 0)</f>
        <v>6.54</v>
      </c>
      <c r="I1544">
        <f t="shared" si="24"/>
        <v>26.16</v>
      </c>
    </row>
    <row r="1545" spans="1:9" x14ac:dyDescent="0.25">
      <c r="A1545">
        <v>2671</v>
      </c>
      <c r="B1545" s="1">
        <v>45470</v>
      </c>
      <c r="C1545">
        <v>36</v>
      </c>
      <c r="D1545">
        <v>24</v>
      </c>
      <c r="E1545">
        <v>1</v>
      </c>
      <c r="F1545">
        <v>5</v>
      </c>
      <c r="G1545" t="s">
        <v>1044</v>
      </c>
      <c r="H1545">
        <f>_xlfn.XLOOKUP(D1545, productos!$A$2:$A$150, productos!$D$2:$D$150, "No Encontrado", 0)</f>
        <v>13.54</v>
      </c>
      <c r="I1545">
        <f t="shared" si="24"/>
        <v>13.54</v>
      </c>
    </row>
    <row r="1546" spans="1:9" x14ac:dyDescent="0.25">
      <c r="A1546">
        <v>2881</v>
      </c>
      <c r="B1546" s="1">
        <v>45470</v>
      </c>
      <c r="C1546">
        <v>163</v>
      </c>
      <c r="D1546">
        <v>9</v>
      </c>
      <c r="E1546">
        <v>5</v>
      </c>
      <c r="F1546">
        <v>3</v>
      </c>
      <c r="G1546" t="s">
        <v>1044</v>
      </c>
      <c r="H1546">
        <f>_xlfn.XLOOKUP(D1546, productos!$A$2:$A$150, productos!$D$2:$D$150, "No Encontrado", 0)</f>
        <v>18.559999999999999</v>
      </c>
      <c r="I1546">
        <f t="shared" si="24"/>
        <v>92.8</v>
      </c>
    </row>
    <row r="1547" spans="1:9" x14ac:dyDescent="0.25">
      <c r="A1547">
        <v>819</v>
      </c>
      <c r="B1547" s="1">
        <v>45471</v>
      </c>
      <c r="C1547">
        <v>252</v>
      </c>
      <c r="D1547">
        <v>2</v>
      </c>
      <c r="E1547">
        <v>4</v>
      </c>
      <c r="F1547">
        <v>1</v>
      </c>
      <c r="G1547" t="s">
        <v>1044</v>
      </c>
      <c r="H1547">
        <f>_xlfn.XLOOKUP(D1547, productos!$A$2:$A$150, productos!$D$2:$D$150, "No Encontrado", 0)</f>
        <v>5.21</v>
      </c>
      <c r="I1547">
        <f t="shared" si="24"/>
        <v>20.84</v>
      </c>
    </row>
    <row r="1548" spans="1:9" x14ac:dyDescent="0.25">
      <c r="A1548">
        <v>866</v>
      </c>
      <c r="B1548" s="1">
        <v>45471</v>
      </c>
      <c r="C1548">
        <v>46</v>
      </c>
      <c r="D1548">
        <v>33</v>
      </c>
      <c r="E1548">
        <v>2</v>
      </c>
      <c r="F1548">
        <v>5</v>
      </c>
      <c r="G1548" t="s">
        <v>1044</v>
      </c>
      <c r="H1548">
        <f>_xlfn.XLOOKUP(D1548, productos!$A$2:$A$150, productos!$D$2:$D$150, "No Encontrado", 0)</f>
        <v>8.5399999999999991</v>
      </c>
      <c r="I1548">
        <f t="shared" si="24"/>
        <v>17.079999999999998</v>
      </c>
    </row>
    <row r="1549" spans="1:9" x14ac:dyDescent="0.25">
      <c r="A1549">
        <v>1695</v>
      </c>
      <c r="B1549" s="1">
        <v>45471</v>
      </c>
      <c r="C1549">
        <v>103</v>
      </c>
      <c r="D1549">
        <v>16</v>
      </c>
      <c r="E1549">
        <v>5</v>
      </c>
      <c r="F1549">
        <v>3</v>
      </c>
      <c r="G1549" t="s">
        <v>1044</v>
      </c>
      <c r="H1549">
        <f>_xlfn.XLOOKUP(D1549, productos!$A$2:$A$150, productos!$D$2:$D$150, "No Encontrado", 0)</f>
        <v>15.23</v>
      </c>
      <c r="I1549">
        <f t="shared" si="24"/>
        <v>76.150000000000006</v>
      </c>
    </row>
    <row r="1550" spans="1:9" x14ac:dyDescent="0.25">
      <c r="A1550">
        <v>1766</v>
      </c>
      <c r="B1550" s="1">
        <v>45471</v>
      </c>
      <c r="C1550">
        <v>46</v>
      </c>
      <c r="D1550">
        <v>11</v>
      </c>
      <c r="E1550">
        <v>6</v>
      </c>
      <c r="F1550">
        <v>4</v>
      </c>
      <c r="G1550" t="s">
        <v>1044</v>
      </c>
      <c r="H1550">
        <f>_xlfn.XLOOKUP(D1550, productos!$A$2:$A$150, productos!$D$2:$D$150, "No Encontrado", 0)</f>
        <v>11.23</v>
      </c>
      <c r="I1550">
        <f t="shared" si="24"/>
        <v>67.38</v>
      </c>
    </row>
    <row r="1551" spans="1:9" x14ac:dyDescent="0.25">
      <c r="A1551">
        <v>1950</v>
      </c>
      <c r="B1551" s="1">
        <v>45471</v>
      </c>
      <c r="C1551">
        <v>111</v>
      </c>
      <c r="D1551">
        <v>15</v>
      </c>
      <c r="E1551">
        <v>5</v>
      </c>
      <c r="F1551">
        <v>1</v>
      </c>
      <c r="G1551" t="s">
        <v>1045</v>
      </c>
      <c r="H1551">
        <f>_xlfn.XLOOKUP(D1551, productos!$A$2:$A$150, productos!$D$2:$D$150, "No Encontrado", 0)</f>
        <v>3.51</v>
      </c>
      <c r="I1551">
        <f t="shared" si="24"/>
        <v>17.549999999999997</v>
      </c>
    </row>
    <row r="1552" spans="1:9" x14ac:dyDescent="0.25">
      <c r="A1552">
        <v>1980</v>
      </c>
      <c r="B1552" s="1">
        <v>45471</v>
      </c>
      <c r="C1552">
        <v>160</v>
      </c>
      <c r="D1552">
        <v>30</v>
      </c>
      <c r="E1552">
        <v>4</v>
      </c>
      <c r="F1552">
        <v>5</v>
      </c>
      <c r="G1552" t="s">
        <v>1045</v>
      </c>
      <c r="H1552">
        <f>_xlfn.XLOOKUP(D1552, productos!$A$2:$A$150, productos!$D$2:$D$150, "No Encontrado", 0)</f>
        <v>13.54</v>
      </c>
      <c r="I1552">
        <f t="shared" si="24"/>
        <v>54.16</v>
      </c>
    </row>
    <row r="1553" spans="1:9" x14ac:dyDescent="0.25">
      <c r="A1553">
        <v>2330</v>
      </c>
      <c r="B1553" s="1">
        <v>45471</v>
      </c>
      <c r="C1553">
        <v>254</v>
      </c>
      <c r="D1553">
        <v>12</v>
      </c>
      <c r="E1553">
        <v>4</v>
      </c>
      <c r="F1553">
        <v>3</v>
      </c>
      <c r="G1553" t="s">
        <v>1044</v>
      </c>
      <c r="H1553">
        <f>_xlfn.XLOOKUP(D1553, productos!$A$2:$A$150, productos!$D$2:$D$150, "No Encontrado", 0)</f>
        <v>8.1199999999999992</v>
      </c>
      <c r="I1553">
        <f t="shared" si="24"/>
        <v>32.479999999999997</v>
      </c>
    </row>
    <row r="1554" spans="1:9" x14ac:dyDescent="0.25">
      <c r="A1554">
        <v>2946</v>
      </c>
      <c r="B1554" s="1">
        <v>45471</v>
      </c>
      <c r="C1554">
        <v>296</v>
      </c>
      <c r="D1554">
        <v>11</v>
      </c>
      <c r="E1554">
        <v>6</v>
      </c>
      <c r="F1554">
        <v>5</v>
      </c>
      <c r="G1554" t="s">
        <v>1045</v>
      </c>
      <c r="H1554">
        <f>_xlfn.XLOOKUP(D1554, productos!$A$2:$A$150, productos!$D$2:$D$150, "No Encontrado", 0)</f>
        <v>11.23</v>
      </c>
      <c r="I1554">
        <f t="shared" si="24"/>
        <v>67.38</v>
      </c>
    </row>
    <row r="1555" spans="1:9" x14ac:dyDescent="0.25">
      <c r="A1555">
        <v>754</v>
      </c>
      <c r="B1555" s="1">
        <v>45472</v>
      </c>
      <c r="C1555">
        <v>216</v>
      </c>
      <c r="D1555">
        <v>23</v>
      </c>
      <c r="E1555">
        <v>4</v>
      </c>
      <c r="F1555">
        <v>3</v>
      </c>
      <c r="G1555" t="s">
        <v>1044</v>
      </c>
      <c r="H1555">
        <f>_xlfn.XLOOKUP(D1555, productos!$A$2:$A$150, productos!$D$2:$D$150, "No Encontrado", 0)</f>
        <v>8.23</v>
      </c>
      <c r="I1555">
        <f t="shared" si="24"/>
        <v>32.92</v>
      </c>
    </row>
    <row r="1556" spans="1:9" x14ac:dyDescent="0.25">
      <c r="A1556">
        <v>825</v>
      </c>
      <c r="B1556" s="1">
        <v>45472</v>
      </c>
      <c r="C1556">
        <v>120</v>
      </c>
      <c r="D1556">
        <v>29</v>
      </c>
      <c r="E1556">
        <v>6</v>
      </c>
      <c r="F1556">
        <v>4</v>
      </c>
      <c r="G1556" t="s">
        <v>1044</v>
      </c>
      <c r="H1556">
        <f>_xlfn.XLOOKUP(D1556, productos!$A$2:$A$150, productos!$D$2:$D$150, "No Encontrado", 0)</f>
        <v>11.54</v>
      </c>
      <c r="I1556">
        <f t="shared" si="24"/>
        <v>69.239999999999995</v>
      </c>
    </row>
    <row r="1557" spans="1:9" x14ac:dyDescent="0.25">
      <c r="A1557">
        <v>1329</v>
      </c>
      <c r="B1557" s="1">
        <v>45472</v>
      </c>
      <c r="C1557">
        <v>233</v>
      </c>
      <c r="D1557">
        <v>27</v>
      </c>
      <c r="E1557">
        <v>6</v>
      </c>
      <c r="F1557">
        <v>1</v>
      </c>
      <c r="G1557" t="s">
        <v>1044</v>
      </c>
      <c r="H1557">
        <f>_xlfn.XLOOKUP(D1557, productos!$A$2:$A$150, productos!$D$2:$D$150, "No Encontrado", 0)</f>
        <v>6.21</v>
      </c>
      <c r="I1557">
        <f t="shared" si="24"/>
        <v>37.26</v>
      </c>
    </row>
    <row r="1558" spans="1:9" x14ac:dyDescent="0.25">
      <c r="A1558">
        <v>1384</v>
      </c>
      <c r="B1558" s="1">
        <v>45472</v>
      </c>
      <c r="C1558">
        <v>62</v>
      </c>
      <c r="D1558">
        <v>30</v>
      </c>
      <c r="E1558">
        <v>4</v>
      </c>
      <c r="F1558">
        <v>3</v>
      </c>
      <c r="G1558" t="s">
        <v>1044</v>
      </c>
      <c r="H1558">
        <f>_xlfn.XLOOKUP(D1558, productos!$A$2:$A$150, productos!$D$2:$D$150, "No Encontrado", 0)</f>
        <v>13.54</v>
      </c>
      <c r="I1558">
        <f t="shared" si="24"/>
        <v>54.16</v>
      </c>
    </row>
    <row r="1559" spans="1:9" x14ac:dyDescent="0.25">
      <c r="A1559">
        <v>1452</v>
      </c>
      <c r="B1559" s="1">
        <v>45472</v>
      </c>
      <c r="C1559">
        <v>56</v>
      </c>
      <c r="D1559">
        <v>20</v>
      </c>
      <c r="E1559">
        <v>1</v>
      </c>
      <c r="F1559">
        <v>4</v>
      </c>
      <c r="G1559" t="s">
        <v>1044</v>
      </c>
      <c r="H1559">
        <f>_xlfn.XLOOKUP(D1559, productos!$A$2:$A$150, productos!$D$2:$D$150, "No Encontrado", 0)</f>
        <v>4.25</v>
      </c>
      <c r="I1559">
        <f t="shared" si="24"/>
        <v>4.25</v>
      </c>
    </row>
    <row r="1560" spans="1:9" x14ac:dyDescent="0.25">
      <c r="A1560">
        <v>1462</v>
      </c>
      <c r="B1560" s="1">
        <v>45472</v>
      </c>
      <c r="C1560">
        <v>86</v>
      </c>
      <c r="D1560">
        <v>11</v>
      </c>
      <c r="E1560">
        <v>5</v>
      </c>
      <c r="F1560">
        <v>5</v>
      </c>
      <c r="G1560" t="s">
        <v>1044</v>
      </c>
      <c r="H1560">
        <f>_xlfn.XLOOKUP(D1560, productos!$A$2:$A$150, productos!$D$2:$D$150, "No Encontrado", 0)</f>
        <v>11.23</v>
      </c>
      <c r="I1560">
        <f t="shared" si="24"/>
        <v>56.150000000000006</v>
      </c>
    </row>
    <row r="1561" spans="1:9" x14ac:dyDescent="0.25">
      <c r="A1561">
        <v>1658</v>
      </c>
      <c r="B1561" s="1">
        <v>45472</v>
      </c>
      <c r="C1561">
        <v>193</v>
      </c>
      <c r="D1561">
        <v>1</v>
      </c>
      <c r="E1561">
        <v>3</v>
      </c>
      <c r="F1561">
        <v>1</v>
      </c>
      <c r="G1561" t="s">
        <v>1044</v>
      </c>
      <c r="H1561">
        <f>_xlfn.XLOOKUP(D1561, productos!$A$2:$A$150, productos!$D$2:$D$150, "No Encontrado", 0)</f>
        <v>12.24</v>
      </c>
      <c r="I1561">
        <f t="shared" si="24"/>
        <v>36.72</v>
      </c>
    </row>
    <row r="1562" spans="1:9" x14ac:dyDescent="0.25">
      <c r="A1562">
        <v>1693</v>
      </c>
      <c r="B1562" s="1">
        <v>45472</v>
      </c>
      <c r="C1562">
        <v>68</v>
      </c>
      <c r="D1562">
        <v>6</v>
      </c>
      <c r="E1562">
        <v>2</v>
      </c>
      <c r="F1562">
        <v>4</v>
      </c>
      <c r="G1562" t="s">
        <v>1044</v>
      </c>
      <c r="H1562">
        <f>_xlfn.XLOOKUP(D1562, productos!$A$2:$A$150, productos!$D$2:$D$150, "No Encontrado", 0)</f>
        <v>28.56</v>
      </c>
      <c r="I1562">
        <f t="shared" si="24"/>
        <v>57.12</v>
      </c>
    </row>
    <row r="1563" spans="1:9" x14ac:dyDescent="0.25">
      <c r="A1563">
        <v>1797</v>
      </c>
      <c r="B1563" s="1">
        <v>45472</v>
      </c>
      <c r="C1563">
        <v>192</v>
      </c>
      <c r="D1563">
        <v>4</v>
      </c>
      <c r="E1563">
        <v>6</v>
      </c>
      <c r="F1563">
        <v>5</v>
      </c>
      <c r="G1563" t="s">
        <v>1044</v>
      </c>
      <c r="H1563">
        <f>_xlfn.XLOOKUP(D1563, productos!$A$2:$A$150, productos!$D$2:$D$150, "No Encontrado", 0)</f>
        <v>19.23</v>
      </c>
      <c r="I1563">
        <f t="shared" si="24"/>
        <v>115.38</v>
      </c>
    </row>
    <row r="1564" spans="1:9" x14ac:dyDescent="0.25">
      <c r="A1564">
        <v>1849</v>
      </c>
      <c r="B1564" s="1">
        <v>45472</v>
      </c>
      <c r="C1564">
        <v>30</v>
      </c>
      <c r="D1564">
        <v>30</v>
      </c>
      <c r="E1564">
        <v>3</v>
      </c>
      <c r="F1564">
        <v>4</v>
      </c>
      <c r="G1564" t="s">
        <v>1045</v>
      </c>
      <c r="H1564">
        <f>_xlfn.XLOOKUP(D1564, productos!$A$2:$A$150, productos!$D$2:$D$150, "No Encontrado", 0)</f>
        <v>13.54</v>
      </c>
      <c r="I1564">
        <f t="shared" si="24"/>
        <v>40.619999999999997</v>
      </c>
    </row>
    <row r="1565" spans="1:9" x14ac:dyDescent="0.25">
      <c r="A1565">
        <v>2399</v>
      </c>
      <c r="B1565" s="1">
        <v>45472</v>
      </c>
      <c r="C1565">
        <v>73</v>
      </c>
      <c r="D1565">
        <v>37</v>
      </c>
      <c r="E1565">
        <v>2</v>
      </c>
      <c r="F1565">
        <v>1</v>
      </c>
      <c r="G1565" t="s">
        <v>1045</v>
      </c>
      <c r="H1565">
        <f>_xlfn.XLOOKUP(D1565, productos!$A$2:$A$150, productos!$D$2:$D$150, "No Encontrado", 0)</f>
        <v>3.65</v>
      </c>
      <c r="I1565">
        <f t="shared" si="24"/>
        <v>7.3</v>
      </c>
    </row>
    <row r="1566" spans="1:9" x14ac:dyDescent="0.25">
      <c r="A1566">
        <v>2721</v>
      </c>
      <c r="B1566" s="1">
        <v>45472</v>
      </c>
      <c r="C1566">
        <v>29</v>
      </c>
      <c r="D1566">
        <v>20</v>
      </c>
      <c r="E1566">
        <v>2</v>
      </c>
      <c r="F1566">
        <v>4</v>
      </c>
      <c r="G1566" t="s">
        <v>1044</v>
      </c>
      <c r="H1566">
        <f>_xlfn.XLOOKUP(D1566, productos!$A$2:$A$150, productos!$D$2:$D$150, "No Encontrado", 0)</f>
        <v>4.25</v>
      </c>
      <c r="I1566">
        <f t="shared" si="24"/>
        <v>8.5</v>
      </c>
    </row>
    <row r="1567" spans="1:9" x14ac:dyDescent="0.25">
      <c r="A1567">
        <v>599</v>
      </c>
      <c r="B1567" s="1">
        <v>45473</v>
      </c>
      <c r="C1567">
        <v>61</v>
      </c>
      <c r="D1567">
        <v>37</v>
      </c>
      <c r="E1567">
        <v>6</v>
      </c>
      <c r="F1567">
        <v>4</v>
      </c>
      <c r="G1567" t="s">
        <v>1044</v>
      </c>
      <c r="H1567">
        <f>_xlfn.XLOOKUP(D1567, productos!$A$2:$A$150, productos!$D$2:$D$150, "No Encontrado", 0)</f>
        <v>3.65</v>
      </c>
      <c r="I1567">
        <f t="shared" si="24"/>
        <v>21.9</v>
      </c>
    </row>
    <row r="1568" spans="1:9" x14ac:dyDescent="0.25">
      <c r="A1568">
        <v>920</v>
      </c>
      <c r="B1568" s="1">
        <v>45473</v>
      </c>
      <c r="C1568">
        <v>50</v>
      </c>
      <c r="D1568">
        <v>33</v>
      </c>
      <c r="E1568">
        <v>1</v>
      </c>
      <c r="F1568">
        <v>1</v>
      </c>
      <c r="G1568" t="s">
        <v>1044</v>
      </c>
      <c r="H1568">
        <f>_xlfn.XLOOKUP(D1568, productos!$A$2:$A$150, productos!$D$2:$D$150, "No Encontrado", 0)</f>
        <v>8.5399999999999991</v>
      </c>
      <c r="I1568">
        <f t="shared" si="24"/>
        <v>8.5399999999999991</v>
      </c>
    </row>
    <row r="1569" spans="1:9" x14ac:dyDescent="0.25">
      <c r="A1569">
        <v>1260</v>
      </c>
      <c r="B1569" s="1">
        <v>45473</v>
      </c>
      <c r="C1569">
        <v>115</v>
      </c>
      <c r="D1569">
        <v>25</v>
      </c>
      <c r="E1569">
        <v>2</v>
      </c>
      <c r="F1569">
        <v>4</v>
      </c>
      <c r="G1569" t="s">
        <v>1044</v>
      </c>
      <c r="H1569">
        <f>_xlfn.XLOOKUP(D1569, productos!$A$2:$A$150, productos!$D$2:$D$150, "No Encontrado", 0)</f>
        <v>15.45</v>
      </c>
      <c r="I1569">
        <f t="shared" si="24"/>
        <v>30.9</v>
      </c>
    </row>
    <row r="1570" spans="1:9" x14ac:dyDescent="0.25">
      <c r="A1570">
        <v>1851</v>
      </c>
      <c r="B1570" s="1">
        <v>45473</v>
      </c>
      <c r="C1570">
        <v>318</v>
      </c>
      <c r="D1570">
        <v>35</v>
      </c>
      <c r="E1570">
        <v>5</v>
      </c>
      <c r="F1570">
        <v>4</v>
      </c>
      <c r="G1570" t="s">
        <v>1045</v>
      </c>
      <c r="H1570">
        <f>_xlfn.XLOOKUP(D1570, productos!$A$2:$A$150, productos!$D$2:$D$150, "No Encontrado", 0)</f>
        <v>4.25</v>
      </c>
      <c r="I1570">
        <f t="shared" si="24"/>
        <v>21.25</v>
      </c>
    </row>
    <row r="1571" spans="1:9" x14ac:dyDescent="0.25">
      <c r="A1571">
        <v>2070</v>
      </c>
      <c r="B1571" s="1">
        <v>45473</v>
      </c>
      <c r="C1571">
        <v>89</v>
      </c>
      <c r="D1571">
        <v>17</v>
      </c>
      <c r="E1571">
        <v>1</v>
      </c>
      <c r="F1571">
        <v>1</v>
      </c>
      <c r="G1571" t="s">
        <v>1044</v>
      </c>
      <c r="H1571">
        <f>_xlfn.XLOOKUP(D1571, productos!$A$2:$A$150, productos!$D$2:$D$150, "No Encontrado", 0)</f>
        <v>6.54</v>
      </c>
      <c r="I1571">
        <f t="shared" si="24"/>
        <v>6.54</v>
      </c>
    </row>
    <row r="1572" spans="1:9" x14ac:dyDescent="0.25">
      <c r="A1572">
        <v>2314</v>
      </c>
      <c r="B1572" s="1">
        <v>45473</v>
      </c>
      <c r="C1572">
        <v>171</v>
      </c>
      <c r="D1572">
        <v>28</v>
      </c>
      <c r="E1572">
        <v>6</v>
      </c>
      <c r="F1572">
        <v>3</v>
      </c>
      <c r="G1572" t="s">
        <v>1044</v>
      </c>
      <c r="H1572">
        <f>_xlfn.XLOOKUP(D1572, productos!$A$2:$A$150, productos!$D$2:$D$150, "No Encontrado", 0)</f>
        <v>9.4499999999999993</v>
      </c>
      <c r="I1572">
        <f t="shared" si="24"/>
        <v>56.699999999999996</v>
      </c>
    </row>
    <row r="1573" spans="1:9" x14ac:dyDescent="0.25">
      <c r="A1573">
        <v>2396</v>
      </c>
      <c r="B1573" s="1">
        <v>45473</v>
      </c>
      <c r="C1573">
        <v>176</v>
      </c>
      <c r="D1573">
        <v>2</v>
      </c>
      <c r="E1573">
        <v>3</v>
      </c>
      <c r="F1573">
        <v>2</v>
      </c>
      <c r="G1573" t="s">
        <v>1044</v>
      </c>
      <c r="H1573">
        <f>_xlfn.XLOOKUP(D1573, productos!$A$2:$A$150, productos!$D$2:$D$150, "No Encontrado", 0)</f>
        <v>5.21</v>
      </c>
      <c r="I1573">
        <f t="shared" si="24"/>
        <v>15.629999999999999</v>
      </c>
    </row>
    <row r="1574" spans="1:9" x14ac:dyDescent="0.25">
      <c r="A1574">
        <v>2462</v>
      </c>
      <c r="B1574" s="1">
        <v>45473</v>
      </c>
      <c r="C1574">
        <v>102</v>
      </c>
      <c r="D1574">
        <v>37</v>
      </c>
      <c r="E1574">
        <v>4</v>
      </c>
      <c r="F1574">
        <v>2</v>
      </c>
      <c r="G1574" t="s">
        <v>1045</v>
      </c>
      <c r="H1574">
        <f>_xlfn.XLOOKUP(D1574, productos!$A$2:$A$150, productos!$D$2:$D$150, "No Encontrado", 0)</f>
        <v>3.65</v>
      </c>
      <c r="I1574">
        <f t="shared" si="24"/>
        <v>14.6</v>
      </c>
    </row>
    <row r="1575" spans="1:9" x14ac:dyDescent="0.25">
      <c r="A1575">
        <v>2609</v>
      </c>
      <c r="B1575" s="1">
        <v>45473</v>
      </c>
      <c r="C1575">
        <v>148</v>
      </c>
      <c r="D1575">
        <v>12</v>
      </c>
      <c r="E1575">
        <v>6</v>
      </c>
      <c r="F1575">
        <v>3</v>
      </c>
      <c r="G1575" t="s">
        <v>1044</v>
      </c>
      <c r="H1575">
        <f>_xlfn.XLOOKUP(D1575, productos!$A$2:$A$150, productos!$D$2:$D$150, "No Encontrado", 0)</f>
        <v>8.1199999999999992</v>
      </c>
      <c r="I1575">
        <f t="shared" si="24"/>
        <v>48.72</v>
      </c>
    </row>
    <row r="1576" spans="1:9" x14ac:dyDescent="0.25">
      <c r="A1576">
        <v>2663</v>
      </c>
      <c r="B1576" s="1">
        <v>45473</v>
      </c>
      <c r="C1576">
        <v>251</v>
      </c>
      <c r="D1576">
        <v>11</v>
      </c>
      <c r="E1576">
        <v>4</v>
      </c>
      <c r="F1576">
        <v>5</v>
      </c>
      <c r="G1576" t="s">
        <v>1045</v>
      </c>
      <c r="H1576">
        <f>_xlfn.XLOOKUP(D1576, productos!$A$2:$A$150, productos!$D$2:$D$150, "No Encontrado", 0)</f>
        <v>11.23</v>
      </c>
      <c r="I1576">
        <f t="shared" si="24"/>
        <v>44.92</v>
      </c>
    </row>
    <row r="1577" spans="1:9" x14ac:dyDescent="0.25">
      <c r="A1577">
        <v>2766</v>
      </c>
      <c r="B1577" s="1">
        <v>45473</v>
      </c>
      <c r="C1577">
        <v>185</v>
      </c>
      <c r="D1577">
        <v>37</v>
      </c>
      <c r="E1577">
        <v>1</v>
      </c>
      <c r="F1577">
        <v>1</v>
      </c>
      <c r="G1577" t="s">
        <v>1044</v>
      </c>
      <c r="H1577">
        <f>_xlfn.XLOOKUP(D1577, productos!$A$2:$A$150, productos!$D$2:$D$150, "No Encontrado", 0)</f>
        <v>3.65</v>
      </c>
      <c r="I1577">
        <f t="shared" si="24"/>
        <v>3.65</v>
      </c>
    </row>
    <row r="1578" spans="1:9" x14ac:dyDescent="0.25">
      <c r="A1578">
        <v>507</v>
      </c>
      <c r="B1578" s="1">
        <v>45474</v>
      </c>
      <c r="C1578">
        <v>73</v>
      </c>
      <c r="D1578">
        <v>38</v>
      </c>
      <c r="E1578">
        <v>6</v>
      </c>
      <c r="F1578">
        <v>5</v>
      </c>
      <c r="G1578" t="s">
        <v>1044</v>
      </c>
      <c r="H1578">
        <f>_xlfn.XLOOKUP(D1578, productos!$A$2:$A$150, productos!$D$2:$D$150, "No Encontrado", 0)</f>
        <v>6.21</v>
      </c>
      <c r="I1578">
        <f t="shared" si="24"/>
        <v>37.26</v>
      </c>
    </row>
    <row r="1579" spans="1:9" x14ac:dyDescent="0.25">
      <c r="A1579">
        <v>804</v>
      </c>
      <c r="B1579" s="1">
        <v>45474</v>
      </c>
      <c r="C1579">
        <v>154</v>
      </c>
      <c r="D1579">
        <v>10</v>
      </c>
      <c r="E1579">
        <v>2</v>
      </c>
      <c r="F1579">
        <v>5</v>
      </c>
      <c r="G1579" t="s">
        <v>1045</v>
      </c>
      <c r="H1579">
        <f>_xlfn.XLOOKUP(D1579, productos!$A$2:$A$150, productos!$D$2:$D$150, "No Encontrado", 0)</f>
        <v>14.25</v>
      </c>
      <c r="I1579">
        <f t="shared" si="24"/>
        <v>28.5</v>
      </c>
    </row>
    <row r="1580" spans="1:9" x14ac:dyDescent="0.25">
      <c r="A1580">
        <v>1052</v>
      </c>
      <c r="B1580" s="1">
        <v>45474</v>
      </c>
      <c r="C1580">
        <v>219</v>
      </c>
      <c r="D1580">
        <v>18</v>
      </c>
      <c r="E1580">
        <v>1</v>
      </c>
      <c r="F1580">
        <v>3</v>
      </c>
      <c r="G1580" t="s">
        <v>1045</v>
      </c>
      <c r="H1580">
        <f>_xlfn.XLOOKUP(D1580, productos!$A$2:$A$150, productos!$D$2:$D$150, "No Encontrado", 0)</f>
        <v>7.25</v>
      </c>
      <c r="I1580">
        <f t="shared" si="24"/>
        <v>7.25</v>
      </c>
    </row>
    <row r="1581" spans="1:9" x14ac:dyDescent="0.25">
      <c r="A1581">
        <v>1159</v>
      </c>
      <c r="B1581" s="1">
        <v>45474</v>
      </c>
      <c r="C1581">
        <v>233</v>
      </c>
      <c r="D1581">
        <v>21</v>
      </c>
      <c r="E1581">
        <v>2</v>
      </c>
      <c r="F1581">
        <v>1</v>
      </c>
      <c r="G1581" t="s">
        <v>1044</v>
      </c>
      <c r="H1581">
        <f>_xlfn.XLOOKUP(D1581, productos!$A$2:$A$150, productos!$D$2:$D$150, "No Encontrado", 0)</f>
        <v>3.25</v>
      </c>
      <c r="I1581">
        <f t="shared" si="24"/>
        <v>6.5</v>
      </c>
    </row>
    <row r="1582" spans="1:9" x14ac:dyDescent="0.25">
      <c r="A1582">
        <v>1186</v>
      </c>
      <c r="B1582" s="1">
        <v>45474</v>
      </c>
      <c r="C1582">
        <v>24</v>
      </c>
      <c r="D1582">
        <v>23</v>
      </c>
      <c r="E1582">
        <v>6</v>
      </c>
      <c r="F1582">
        <v>4</v>
      </c>
      <c r="G1582" t="s">
        <v>1044</v>
      </c>
      <c r="H1582">
        <f>_xlfn.XLOOKUP(D1582, productos!$A$2:$A$150, productos!$D$2:$D$150, "No Encontrado", 0)</f>
        <v>8.23</v>
      </c>
      <c r="I1582">
        <f t="shared" si="24"/>
        <v>49.38</v>
      </c>
    </row>
    <row r="1583" spans="1:9" x14ac:dyDescent="0.25">
      <c r="A1583">
        <v>2393</v>
      </c>
      <c r="B1583" s="1">
        <v>45474</v>
      </c>
      <c r="C1583">
        <v>58</v>
      </c>
      <c r="D1583">
        <v>15</v>
      </c>
      <c r="E1583">
        <v>4</v>
      </c>
      <c r="F1583">
        <v>1</v>
      </c>
      <c r="G1583" t="s">
        <v>1044</v>
      </c>
      <c r="H1583">
        <f>_xlfn.XLOOKUP(D1583, productos!$A$2:$A$150, productos!$D$2:$D$150, "No Encontrado", 0)</f>
        <v>3.51</v>
      </c>
      <c r="I1583">
        <f t="shared" si="24"/>
        <v>14.04</v>
      </c>
    </row>
    <row r="1584" spans="1:9" x14ac:dyDescent="0.25">
      <c r="A1584">
        <v>2672</v>
      </c>
      <c r="B1584" s="1">
        <v>45474</v>
      </c>
      <c r="C1584">
        <v>49</v>
      </c>
      <c r="D1584">
        <v>24</v>
      </c>
      <c r="E1584">
        <v>6</v>
      </c>
      <c r="F1584">
        <v>3</v>
      </c>
      <c r="G1584" t="s">
        <v>1044</v>
      </c>
      <c r="H1584">
        <f>_xlfn.XLOOKUP(D1584, productos!$A$2:$A$150, productos!$D$2:$D$150, "No Encontrado", 0)</f>
        <v>13.54</v>
      </c>
      <c r="I1584">
        <f t="shared" si="24"/>
        <v>81.239999999999995</v>
      </c>
    </row>
    <row r="1585" spans="1:9" x14ac:dyDescent="0.25">
      <c r="A1585">
        <v>474</v>
      </c>
      <c r="B1585" s="1">
        <v>45475</v>
      </c>
      <c r="C1585">
        <v>25</v>
      </c>
      <c r="D1585">
        <v>18</v>
      </c>
      <c r="E1585">
        <v>3</v>
      </c>
      <c r="F1585">
        <v>4</v>
      </c>
      <c r="G1585" t="s">
        <v>1044</v>
      </c>
      <c r="H1585">
        <f>_xlfn.XLOOKUP(D1585, productos!$A$2:$A$150, productos!$D$2:$D$150, "No Encontrado", 0)</f>
        <v>7.25</v>
      </c>
      <c r="I1585">
        <f t="shared" si="24"/>
        <v>21.75</v>
      </c>
    </row>
    <row r="1586" spans="1:9" x14ac:dyDescent="0.25">
      <c r="A1586">
        <v>1005</v>
      </c>
      <c r="B1586" s="1">
        <v>45475</v>
      </c>
      <c r="C1586">
        <v>131</v>
      </c>
      <c r="D1586">
        <v>4</v>
      </c>
      <c r="E1586">
        <v>6</v>
      </c>
      <c r="F1586">
        <v>5</v>
      </c>
      <c r="G1586" t="s">
        <v>1044</v>
      </c>
      <c r="H1586">
        <f>_xlfn.XLOOKUP(D1586, productos!$A$2:$A$150, productos!$D$2:$D$150, "No Encontrado", 0)</f>
        <v>19.23</v>
      </c>
      <c r="I1586">
        <f t="shared" si="24"/>
        <v>115.38</v>
      </c>
    </row>
    <row r="1587" spans="1:9" x14ac:dyDescent="0.25">
      <c r="A1587">
        <v>1746</v>
      </c>
      <c r="B1587" s="1">
        <v>45475</v>
      </c>
      <c r="C1587">
        <v>269</v>
      </c>
      <c r="D1587">
        <v>5</v>
      </c>
      <c r="E1587">
        <v>4</v>
      </c>
      <c r="F1587">
        <v>5</v>
      </c>
      <c r="G1587" t="s">
        <v>1044</v>
      </c>
      <c r="H1587">
        <f>_xlfn.XLOOKUP(D1587, productos!$A$2:$A$150, productos!$D$2:$D$150, "No Encontrado", 0)</f>
        <v>5.65</v>
      </c>
      <c r="I1587">
        <f t="shared" si="24"/>
        <v>22.6</v>
      </c>
    </row>
    <row r="1588" spans="1:9" x14ac:dyDescent="0.25">
      <c r="A1588">
        <v>1798</v>
      </c>
      <c r="B1588" s="1">
        <v>45475</v>
      </c>
      <c r="C1588">
        <v>167</v>
      </c>
      <c r="D1588">
        <v>35</v>
      </c>
      <c r="E1588">
        <v>6</v>
      </c>
      <c r="F1588">
        <v>5</v>
      </c>
      <c r="G1588" t="s">
        <v>1044</v>
      </c>
      <c r="H1588">
        <f>_xlfn.XLOOKUP(D1588, productos!$A$2:$A$150, productos!$D$2:$D$150, "No Encontrado", 0)</f>
        <v>4.25</v>
      </c>
      <c r="I1588">
        <f t="shared" si="24"/>
        <v>25.5</v>
      </c>
    </row>
    <row r="1589" spans="1:9" x14ac:dyDescent="0.25">
      <c r="A1589">
        <v>1897</v>
      </c>
      <c r="B1589" s="1">
        <v>45475</v>
      </c>
      <c r="C1589">
        <v>57</v>
      </c>
      <c r="D1589">
        <v>37</v>
      </c>
      <c r="E1589">
        <v>2</v>
      </c>
      <c r="F1589">
        <v>4</v>
      </c>
      <c r="G1589" t="s">
        <v>1045</v>
      </c>
      <c r="H1589">
        <f>_xlfn.XLOOKUP(D1589, productos!$A$2:$A$150, productos!$D$2:$D$150, "No Encontrado", 0)</f>
        <v>3.65</v>
      </c>
      <c r="I1589">
        <f t="shared" si="24"/>
        <v>7.3</v>
      </c>
    </row>
    <row r="1590" spans="1:9" x14ac:dyDescent="0.25">
      <c r="A1590">
        <v>2150</v>
      </c>
      <c r="B1590" s="1">
        <v>45475</v>
      </c>
      <c r="C1590">
        <v>214</v>
      </c>
      <c r="D1590">
        <v>25</v>
      </c>
      <c r="E1590">
        <v>5</v>
      </c>
      <c r="F1590">
        <v>5</v>
      </c>
      <c r="G1590" t="s">
        <v>1044</v>
      </c>
      <c r="H1590">
        <f>_xlfn.XLOOKUP(D1590, productos!$A$2:$A$150, productos!$D$2:$D$150, "No Encontrado", 0)</f>
        <v>15.45</v>
      </c>
      <c r="I1590">
        <f t="shared" si="24"/>
        <v>77.25</v>
      </c>
    </row>
    <row r="1591" spans="1:9" x14ac:dyDescent="0.25">
      <c r="A1591">
        <v>2194</v>
      </c>
      <c r="B1591" s="1">
        <v>45475</v>
      </c>
      <c r="C1591">
        <v>157</v>
      </c>
      <c r="D1591">
        <v>8</v>
      </c>
      <c r="E1591">
        <v>2</v>
      </c>
      <c r="F1591">
        <v>1</v>
      </c>
      <c r="G1591" t="s">
        <v>1044</v>
      </c>
      <c r="H1591">
        <f>_xlfn.XLOOKUP(D1591, productos!$A$2:$A$150, productos!$D$2:$D$150, "No Encontrado", 0)</f>
        <v>16.21</v>
      </c>
      <c r="I1591">
        <f t="shared" si="24"/>
        <v>32.42</v>
      </c>
    </row>
    <row r="1592" spans="1:9" x14ac:dyDescent="0.25">
      <c r="A1592">
        <v>2224</v>
      </c>
      <c r="B1592" s="1">
        <v>45475</v>
      </c>
      <c r="C1592">
        <v>286</v>
      </c>
      <c r="D1592">
        <v>28</v>
      </c>
      <c r="E1592">
        <v>3</v>
      </c>
      <c r="F1592">
        <v>4</v>
      </c>
      <c r="G1592" t="s">
        <v>1045</v>
      </c>
      <c r="H1592">
        <f>_xlfn.XLOOKUP(D1592, productos!$A$2:$A$150, productos!$D$2:$D$150, "No Encontrado", 0)</f>
        <v>9.4499999999999993</v>
      </c>
      <c r="I1592">
        <f t="shared" si="24"/>
        <v>28.349999999999998</v>
      </c>
    </row>
    <row r="1593" spans="1:9" x14ac:dyDescent="0.25">
      <c r="A1593">
        <v>2787</v>
      </c>
      <c r="B1593" s="1">
        <v>45475</v>
      </c>
      <c r="C1593">
        <v>249</v>
      </c>
      <c r="D1593">
        <v>28</v>
      </c>
      <c r="E1593">
        <v>4</v>
      </c>
      <c r="F1593">
        <v>5</v>
      </c>
      <c r="G1593" t="s">
        <v>1044</v>
      </c>
      <c r="H1593">
        <f>_xlfn.XLOOKUP(D1593, productos!$A$2:$A$150, productos!$D$2:$D$150, "No Encontrado", 0)</f>
        <v>9.4499999999999993</v>
      </c>
      <c r="I1593">
        <f t="shared" si="24"/>
        <v>37.799999999999997</v>
      </c>
    </row>
    <row r="1594" spans="1:9" x14ac:dyDescent="0.25">
      <c r="A1594">
        <v>2916</v>
      </c>
      <c r="B1594" s="1">
        <v>45475</v>
      </c>
      <c r="C1594">
        <v>268</v>
      </c>
      <c r="D1594">
        <v>17</v>
      </c>
      <c r="E1594">
        <v>6</v>
      </c>
      <c r="F1594">
        <v>4</v>
      </c>
      <c r="G1594" t="s">
        <v>1044</v>
      </c>
      <c r="H1594">
        <f>_xlfn.XLOOKUP(D1594, productos!$A$2:$A$150, productos!$D$2:$D$150, "No Encontrado", 0)</f>
        <v>6.54</v>
      </c>
      <c r="I1594">
        <f t="shared" si="24"/>
        <v>39.24</v>
      </c>
    </row>
    <row r="1595" spans="1:9" x14ac:dyDescent="0.25">
      <c r="A1595">
        <v>528</v>
      </c>
      <c r="B1595" s="1">
        <v>45476</v>
      </c>
      <c r="C1595">
        <v>93</v>
      </c>
      <c r="D1595">
        <v>37</v>
      </c>
      <c r="E1595">
        <v>2</v>
      </c>
      <c r="F1595">
        <v>3</v>
      </c>
      <c r="G1595" t="s">
        <v>1044</v>
      </c>
      <c r="H1595">
        <f>_xlfn.XLOOKUP(D1595, productos!$A$2:$A$150, productos!$D$2:$D$150, "No Encontrado", 0)</f>
        <v>3.65</v>
      </c>
      <c r="I1595">
        <f t="shared" si="24"/>
        <v>7.3</v>
      </c>
    </row>
    <row r="1596" spans="1:9" x14ac:dyDescent="0.25">
      <c r="A1596">
        <v>2034</v>
      </c>
      <c r="B1596" s="1">
        <v>45476</v>
      </c>
      <c r="C1596">
        <v>15</v>
      </c>
      <c r="D1596">
        <v>24</v>
      </c>
      <c r="E1596">
        <v>1</v>
      </c>
      <c r="F1596">
        <v>5</v>
      </c>
      <c r="G1596" t="s">
        <v>1044</v>
      </c>
      <c r="H1596">
        <f>_xlfn.XLOOKUP(D1596, productos!$A$2:$A$150, productos!$D$2:$D$150, "No Encontrado", 0)</f>
        <v>13.54</v>
      </c>
      <c r="I1596">
        <f t="shared" si="24"/>
        <v>13.54</v>
      </c>
    </row>
    <row r="1597" spans="1:9" x14ac:dyDescent="0.25">
      <c r="A1597">
        <v>2077</v>
      </c>
      <c r="B1597" s="1">
        <v>45476</v>
      </c>
      <c r="C1597">
        <v>62</v>
      </c>
      <c r="D1597">
        <v>21</v>
      </c>
      <c r="E1597">
        <v>6</v>
      </c>
      <c r="F1597">
        <v>4</v>
      </c>
      <c r="G1597" t="s">
        <v>1044</v>
      </c>
      <c r="H1597">
        <f>_xlfn.XLOOKUP(D1597, productos!$A$2:$A$150, productos!$D$2:$D$150, "No Encontrado", 0)</f>
        <v>3.25</v>
      </c>
      <c r="I1597">
        <f t="shared" si="24"/>
        <v>19.5</v>
      </c>
    </row>
    <row r="1598" spans="1:9" x14ac:dyDescent="0.25">
      <c r="A1598">
        <v>2503</v>
      </c>
      <c r="B1598" s="1">
        <v>45476</v>
      </c>
      <c r="C1598">
        <v>205</v>
      </c>
      <c r="D1598">
        <v>1</v>
      </c>
      <c r="E1598">
        <v>3</v>
      </c>
      <c r="F1598">
        <v>3</v>
      </c>
      <c r="G1598" t="s">
        <v>1044</v>
      </c>
      <c r="H1598">
        <f>_xlfn.XLOOKUP(D1598, productos!$A$2:$A$150, productos!$D$2:$D$150, "No Encontrado", 0)</f>
        <v>12.24</v>
      </c>
      <c r="I1598">
        <f t="shared" si="24"/>
        <v>36.72</v>
      </c>
    </row>
    <row r="1599" spans="1:9" x14ac:dyDescent="0.25">
      <c r="A1599">
        <v>2526</v>
      </c>
      <c r="B1599" s="1">
        <v>45476</v>
      </c>
      <c r="C1599">
        <v>246</v>
      </c>
      <c r="D1599">
        <v>3</v>
      </c>
      <c r="E1599">
        <v>4</v>
      </c>
      <c r="F1599">
        <v>5</v>
      </c>
      <c r="G1599" t="s">
        <v>1045</v>
      </c>
      <c r="H1599">
        <f>_xlfn.XLOOKUP(D1599, productos!$A$2:$A$150, productos!$D$2:$D$150, "No Encontrado", 0)</f>
        <v>17.23</v>
      </c>
      <c r="I1599">
        <f t="shared" si="24"/>
        <v>68.92</v>
      </c>
    </row>
    <row r="1600" spans="1:9" x14ac:dyDescent="0.25">
      <c r="A1600">
        <v>2574</v>
      </c>
      <c r="B1600" s="1">
        <v>45476</v>
      </c>
      <c r="C1600">
        <v>62</v>
      </c>
      <c r="D1600">
        <v>2</v>
      </c>
      <c r="E1600">
        <v>3</v>
      </c>
      <c r="F1600">
        <v>5</v>
      </c>
      <c r="G1600" t="s">
        <v>1045</v>
      </c>
      <c r="H1600">
        <f>_xlfn.XLOOKUP(D1600, productos!$A$2:$A$150, productos!$D$2:$D$150, "No Encontrado", 0)</f>
        <v>5.21</v>
      </c>
      <c r="I1600">
        <f t="shared" si="24"/>
        <v>15.629999999999999</v>
      </c>
    </row>
    <row r="1601" spans="1:9" x14ac:dyDescent="0.25">
      <c r="A1601">
        <v>2996</v>
      </c>
      <c r="B1601" s="1">
        <v>45476</v>
      </c>
      <c r="C1601">
        <v>22</v>
      </c>
      <c r="D1601">
        <v>17</v>
      </c>
      <c r="E1601">
        <v>4</v>
      </c>
      <c r="F1601">
        <v>5</v>
      </c>
      <c r="G1601" t="s">
        <v>1044</v>
      </c>
      <c r="H1601">
        <f>_xlfn.XLOOKUP(D1601, productos!$A$2:$A$150, productos!$D$2:$D$150, "No Encontrado", 0)</f>
        <v>6.54</v>
      </c>
      <c r="I1601">
        <f t="shared" si="24"/>
        <v>26.16</v>
      </c>
    </row>
    <row r="1602" spans="1:9" x14ac:dyDescent="0.25">
      <c r="A1602">
        <v>364</v>
      </c>
      <c r="B1602" s="1">
        <v>45477</v>
      </c>
      <c r="C1602">
        <v>128</v>
      </c>
      <c r="D1602">
        <v>34</v>
      </c>
      <c r="E1602">
        <v>1</v>
      </c>
      <c r="F1602">
        <v>5</v>
      </c>
      <c r="G1602" t="s">
        <v>1044</v>
      </c>
      <c r="H1602">
        <f>_xlfn.XLOOKUP(D1602, productos!$A$2:$A$150, productos!$D$2:$D$150, "No Encontrado", 0)</f>
        <v>5.45</v>
      </c>
      <c r="I1602">
        <f t="shared" si="24"/>
        <v>5.45</v>
      </c>
    </row>
    <row r="1603" spans="1:9" x14ac:dyDescent="0.25">
      <c r="A1603">
        <v>700</v>
      </c>
      <c r="B1603" s="1">
        <v>45477</v>
      </c>
      <c r="C1603">
        <v>134</v>
      </c>
      <c r="D1603">
        <v>8</v>
      </c>
      <c r="E1603">
        <v>3</v>
      </c>
      <c r="F1603">
        <v>1</v>
      </c>
      <c r="G1603" t="s">
        <v>1044</v>
      </c>
      <c r="H1603">
        <f>_xlfn.XLOOKUP(D1603, productos!$A$2:$A$150, productos!$D$2:$D$150, "No Encontrado", 0)</f>
        <v>16.21</v>
      </c>
      <c r="I1603">
        <f t="shared" ref="I1603:I1666" si="25">E1603*H1603</f>
        <v>48.63</v>
      </c>
    </row>
    <row r="1604" spans="1:9" x14ac:dyDescent="0.25">
      <c r="A1604">
        <v>883</v>
      </c>
      <c r="B1604" s="1">
        <v>45477</v>
      </c>
      <c r="C1604">
        <v>222</v>
      </c>
      <c r="D1604">
        <v>2</v>
      </c>
      <c r="E1604">
        <v>2</v>
      </c>
      <c r="F1604">
        <v>5</v>
      </c>
      <c r="G1604" t="s">
        <v>1044</v>
      </c>
      <c r="H1604">
        <f>_xlfn.XLOOKUP(D1604, productos!$A$2:$A$150, productos!$D$2:$D$150, "No Encontrado", 0)</f>
        <v>5.21</v>
      </c>
      <c r="I1604">
        <f t="shared" si="25"/>
        <v>10.42</v>
      </c>
    </row>
    <row r="1605" spans="1:9" x14ac:dyDescent="0.25">
      <c r="A1605">
        <v>1036</v>
      </c>
      <c r="B1605" s="1">
        <v>45477</v>
      </c>
      <c r="C1605">
        <v>230</v>
      </c>
      <c r="D1605">
        <v>30</v>
      </c>
      <c r="E1605">
        <v>2</v>
      </c>
      <c r="F1605">
        <v>5</v>
      </c>
      <c r="G1605" t="s">
        <v>1044</v>
      </c>
      <c r="H1605">
        <f>_xlfn.XLOOKUP(D1605, productos!$A$2:$A$150, productos!$D$2:$D$150, "No Encontrado", 0)</f>
        <v>13.54</v>
      </c>
      <c r="I1605">
        <f t="shared" si="25"/>
        <v>27.08</v>
      </c>
    </row>
    <row r="1606" spans="1:9" x14ac:dyDescent="0.25">
      <c r="A1606">
        <v>1594</v>
      </c>
      <c r="B1606" s="1">
        <v>45477</v>
      </c>
      <c r="C1606">
        <v>253</v>
      </c>
      <c r="D1606">
        <v>4</v>
      </c>
      <c r="E1606">
        <v>1</v>
      </c>
      <c r="F1606">
        <v>1</v>
      </c>
      <c r="G1606" t="s">
        <v>1046</v>
      </c>
      <c r="H1606">
        <f>_xlfn.XLOOKUP(D1606, productos!$A$2:$A$150, productos!$D$2:$D$150, "No Encontrado", 0)</f>
        <v>19.23</v>
      </c>
      <c r="I1606">
        <f t="shared" si="25"/>
        <v>19.23</v>
      </c>
    </row>
    <row r="1607" spans="1:9" x14ac:dyDescent="0.25">
      <c r="A1607">
        <v>1896</v>
      </c>
      <c r="B1607" s="1">
        <v>45477</v>
      </c>
      <c r="C1607">
        <v>302</v>
      </c>
      <c r="D1607">
        <v>19</v>
      </c>
      <c r="E1607">
        <v>6</v>
      </c>
      <c r="F1607">
        <v>1</v>
      </c>
      <c r="G1607" t="s">
        <v>1044</v>
      </c>
      <c r="H1607">
        <f>_xlfn.XLOOKUP(D1607, productos!$A$2:$A$150, productos!$D$2:$D$150, "No Encontrado", 0)</f>
        <v>6.54</v>
      </c>
      <c r="I1607">
        <f t="shared" si="25"/>
        <v>39.24</v>
      </c>
    </row>
    <row r="1608" spans="1:9" x14ac:dyDescent="0.25">
      <c r="A1608">
        <v>2035</v>
      </c>
      <c r="B1608" s="1">
        <v>45477</v>
      </c>
      <c r="C1608">
        <v>225</v>
      </c>
      <c r="D1608">
        <v>18</v>
      </c>
      <c r="E1608">
        <v>6</v>
      </c>
      <c r="F1608">
        <v>1</v>
      </c>
      <c r="G1608" t="s">
        <v>1044</v>
      </c>
      <c r="H1608">
        <f>_xlfn.XLOOKUP(D1608, productos!$A$2:$A$150, productos!$D$2:$D$150, "No Encontrado", 0)</f>
        <v>7.25</v>
      </c>
      <c r="I1608">
        <f t="shared" si="25"/>
        <v>43.5</v>
      </c>
    </row>
    <row r="1609" spans="1:9" x14ac:dyDescent="0.25">
      <c r="A1609">
        <v>2191</v>
      </c>
      <c r="B1609" s="1">
        <v>45477</v>
      </c>
      <c r="C1609">
        <v>80</v>
      </c>
      <c r="D1609">
        <v>12</v>
      </c>
      <c r="E1609">
        <v>4</v>
      </c>
      <c r="F1609">
        <v>3</v>
      </c>
      <c r="G1609" t="s">
        <v>1044</v>
      </c>
      <c r="H1609">
        <f>_xlfn.XLOOKUP(D1609, productos!$A$2:$A$150, productos!$D$2:$D$150, "No Encontrado", 0)</f>
        <v>8.1199999999999992</v>
      </c>
      <c r="I1609">
        <f t="shared" si="25"/>
        <v>32.479999999999997</v>
      </c>
    </row>
    <row r="1610" spans="1:9" x14ac:dyDescent="0.25">
      <c r="A1610">
        <v>2715</v>
      </c>
      <c r="B1610" s="1">
        <v>45477</v>
      </c>
      <c r="C1610">
        <v>159</v>
      </c>
      <c r="D1610">
        <v>4</v>
      </c>
      <c r="E1610">
        <v>1</v>
      </c>
      <c r="F1610">
        <v>3</v>
      </c>
      <c r="G1610" t="s">
        <v>1044</v>
      </c>
      <c r="H1610">
        <f>_xlfn.XLOOKUP(D1610, productos!$A$2:$A$150, productos!$D$2:$D$150, "No Encontrado", 0)</f>
        <v>19.23</v>
      </c>
      <c r="I1610">
        <f t="shared" si="25"/>
        <v>19.23</v>
      </c>
    </row>
    <row r="1611" spans="1:9" x14ac:dyDescent="0.25">
      <c r="A1611">
        <v>802</v>
      </c>
      <c r="B1611" s="1">
        <v>45478</v>
      </c>
      <c r="C1611">
        <v>214</v>
      </c>
      <c r="D1611">
        <v>1</v>
      </c>
      <c r="E1611">
        <v>6</v>
      </c>
      <c r="F1611">
        <v>5</v>
      </c>
      <c r="G1611" t="s">
        <v>1045</v>
      </c>
      <c r="H1611">
        <f>_xlfn.XLOOKUP(D1611, productos!$A$2:$A$150, productos!$D$2:$D$150, "No Encontrado", 0)</f>
        <v>12.24</v>
      </c>
      <c r="I1611">
        <f t="shared" si="25"/>
        <v>73.44</v>
      </c>
    </row>
    <row r="1612" spans="1:9" x14ac:dyDescent="0.25">
      <c r="A1612">
        <v>1372</v>
      </c>
      <c r="B1612" s="1">
        <v>45478</v>
      </c>
      <c r="C1612">
        <v>41</v>
      </c>
      <c r="D1612">
        <v>23</v>
      </c>
      <c r="E1612">
        <v>4</v>
      </c>
      <c r="F1612">
        <v>4</v>
      </c>
      <c r="G1612" t="s">
        <v>1045</v>
      </c>
      <c r="H1612">
        <f>_xlfn.XLOOKUP(D1612, productos!$A$2:$A$150, productos!$D$2:$D$150, "No Encontrado", 0)</f>
        <v>8.23</v>
      </c>
      <c r="I1612">
        <f t="shared" si="25"/>
        <v>32.92</v>
      </c>
    </row>
    <row r="1613" spans="1:9" x14ac:dyDescent="0.25">
      <c r="A1613">
        <v>1411</v>
      </c>
      <c r="B1613" s="1">
        <v>45478</v>
      </c>
      <c r="C1613">
        <v>75</v>
      </c>
      <c r="D1613">
        <v>35</v>
      </c>
      <c r="E1613">
        <v>6</v>
      </c>
      <c r="F1613">
        <v>3</v>
      </c>
      <c r="G1613" t="s">
        <v>1044</v>
      </c>
      <c r="H1613">
        <f>_xlfn.XLOOKUP(D1613, productos!$A$2:$A$150, productos!$D$2:$D$150, "No Encontrado", 0)</f>
        <v>4.25</v>
      </c>
      <c r="I1613">
        <f t="shared" si="25"/>
        <v>25.5</v>
      </c>
    </row>
    <row r="1614" spans="1:9" x14ac:dyDescent="0.25">
      <c r="A1614">
        <v>1839</v>
      </c>
      <c r="B1614" s="1">
        <v>45478</v>
      </c>
      <c r="C1614">
        <v>197</v>
      </c>
      <c r="D1614">
        <v>23</v>
      </c>
      <c r="E1614">
        <v>3</v>
      </c>
      <c r="F1614">
        <v>2</v>
      </c>
      <c r="G1614" t="s">
        <v>1044</v>
      </c>
      <c r="H1614">
        <f>_xlfn.XLOOKUP(D1614, productos!$A$2:$A$150, productos!$D$2:$D$150, "No Encontrado", 0)</f>
        <v>8.23</v>
      </c>
      <c r="I1614">
        <f t="shared" si="25"/>
        <v>24.69</v>
      </c>
    </row>
    <row r="1615" spans="1:9" x14ac:dyDescent="0.25">
      <c r="A1615">
        <v>2529</v>
      </c>
      <c r="B1615" s="1">
        <v>45478</v>
      </c>
      <c r="C1615">
        <v>77</v>
      </c>
      <c r="D1615">
        <v>31</v>
      </c>
      <c r="E1615">
        <v>1</v>
      </c>
      <c r="F1615">
        <v>5</v>
      </c>
      <c r="G1615" t="s">
        <v>1044</v>
      </c>
      <c r="H1615">
        <f>_xlfn.XLOOKUP(D1615, productos!$A$2:$A$150, productos!$D$2:$D$150, "No Encontrado", 0)</f>
        <v>5.24</v>
      </c>
      <c r="I1615">
        <f t="shared" si="25"/>
        <v>5.24</v>
      </c>
    </row>
    <row r="1616" spans="1:9" x14ac:dyDescent="0.25">
      <c r="A1616">
        <v>2624</v>
      </c>
      <c r="B1616" s="1">
        <v>45478</v>
      </c>
      <c r="C1616">
        <v>52</v>
      </c>
      <c r="D1616">
        <v>3</v>
      </c>
      <c r="E1616">
        <v>3</v>
      </c>
      <c r="F1616">
        <v>3</v>
      </c>
      <c r="G1616" t="s">
        <v>1044</v>
      </c>
      <c r="H1616">
        <f>_xlfn.XLOOKUP(D1616, productos!$A$2:$A$150, productos!$D$2:$D$150, "No Encontrado", 0)</f>
        <v>17.23</v>
      </c>
      <c r="I1616">
        <f t="shared" si="25"/>
        <v>51.69</v>
      </c>
    </row>
    <row r="1617" spans="1:9" x14ac:dyDescent="0.25">
      <c r="A1617">
        <v>2872</v>
      </c>
      <c r="B1617" s="1">
        <v>45478</v>
      </c>
      <c r="C1617">
        <v>277</v>
      </c>
      <c r="D1617">
        <v>27</v>
      </c>
      <c r="E1617">
        <v>3</v>
      </c>
      <c r="F1617">
        <v>4</v>
      </c>
      <c r="G1617" t="s">
        <v>1045</v>
      </c>
      <c r="H1617">
        <f>_xlfn.XLOOKUP(D1617, productos!$A$2:$A$150, productos!$D$2:$D$150, "No Encontrado", 0)</f>
        <v>6.21</v>
      </c>
      <c r="I1617">
        <f t="shared" si="25"/>
        <v>18.63</v>
      </c>
    </row>
    <row r="1618" spans="1:9" x14ac:dyDescent="0.25">
      <c r="A1618">
        <v>644</v>
      </c>
      <c r="B1618" s="1">
        <v>45479</v>
      </c>
      <c r="C1618">
        <v>232</v>
      </c>
      <c r="D1618">
        <v>9</v>
      </c>
      <c r="E1618">
        <v>5</v>
      </c>
      <c r="F1618">
        <v>2</v>
      </c>
      <c r="G1618" t="s">
        <v>1045</v>
      </c>
      <c r="H1618">
        <f>_xlfn.XLOOKUP(D1618, productos!$A$2:$A$150, productos!$D$2:$D$150, "No Encontrado", 0)</f>
        <v>18.559999999999999</v>
      </c>
      <c r="I1618">
        <f t="shared" si="25"/>
        <v>92.8</v>
      </c>
    </row>
    <row r="1619" spans="1:9" x14ac:dyDescent="0.25">
      <c r="A1619">
        <v>960</v>
      </c>
      <c r="B1619" s="1">
        <v>45479</v>
      </c>
      <c r="C1619">
        <v>200</v>
      </c>
      <c r="D1619">
        <v>4</v>
      </c>
      <c r="E1619">
        <v>2</v>
      </c>
      <c r="F1619">
        <v>4</v>
      </c>
      <c r="G1619" t="s">
        <v>1044</v>
      </c>
      <c r="H1619">
        <f>_xlfn.XLOOKUP(D1619, productos!$A$2:$A$150, productos!$D$2:$D$150, "No Encontrado", 0)</f>
        <v>19.23</v>
      </c>
      <c r="I1619">
        <f t="shared" si="25"/>
        <v>38.46</v>
      </c>
    </row>
    <row r="1620" spans="1:9" x14ac:dyDescent="0.25">
      <c r="A1620">
        <v>1091</v>
      </c>
      <c r="B1620" s="1">
        <v>45479</v>
      </c>
      <c r="C1620">
        <v>250</v>
      </c>
      <c r="D1620">
        <v>15</v>
      </c>
      <c r="E1620">
        <v>5</v>
      </c>
      <c r="F1620">
        <v>4</v>
      </c>
      <c r="G1620" t="s">
        <v>1044</v>
      </c>
      <c r="H1620">
        <f>_xlfn.XLOOKUP(D1620, productos!$A$2:$A$150, productos!$D$2:$D$150, "No Encontrado", 0)</f>
        <v>3.51</v>
      </c>
      <c r="I1620">
        <f t="shared" si="25"/>
        <v>17.549999999999997</v>
      </c>
    </row>
    <row r="1621" spans="1:9" x14ac:dyDescent="0.25">
      <c r="A1621">
        <v>1338</v>
      </c>
      <c r="B1621" s="1">
        <v>45479</v>
      </c>
      <c r="C1621">
        <v>60</v>
      </c>
      <c r="D1621">
        <v>4</v>
      </c>
      <c r="E1621">
        <v>3</v>
      </c>
      <c r="F1621">
        <v>4</v>
      </c>
      <c r="G1621" t="s">
        <v>1044</v>
      </c>
      <c r="H1621">
        <f>_xlfn.XLOOKUP(D1621, productos!$A$2:$A$150, productos!$D$2:$D$150, "No Encontrado", 0)</f>
        <v>19.23</v>
      </c>
      <c r="I1621">
        <f t="shared" si="25"/>
        <v>57.69</v>
      </c>
    </row>
    <row r="1622" spans="1:9" x14ac:dyDescent="0.25">
      <c r="A1622">
        <v>1626</v>
      </c>
      <c r="B1622" s="1">
        <v>45479</v>
      </c>
      <c r="C1622">
        <v>171</v>
      </c>
      <c r="D1622">
        <v>36</v>
      </c>
      <c r="E1622">
        <v>3</v>
      </c>
      <c r="F1622">
        <v>1</v>
      </c>
      <c r="G1622" t="s">
        <v>1044</v>
      </c>
      <c r="H1622">
        <f>_xlfn.XLOOKUP(D1622, productos!$A$2:$A$150, productos!$D$2:$D$150, "No Encontrado", 0)</f>
        <v>3.25</v>
      </c>
      <c r="I1622">
        <f t="shared" si="25"/>
        <v>9.75</v>
      </c>
    </row>
    <row r="1623" spans="1:9" x14ac:dyDescent="0.25">
      <c r="A1623">
        <v>2168</v>
      </c>
      <c r="B1623" s="1">
        <v>45479</v>
      </c>
      <c r="C1623">
        <v>38</v>
      </c>
      <c r="D1623">
        <v>18</v>
      </c>
      <c r="E1623">
        <v>5</v>
      </c>
      <c r="F1623">
        <v>3</v>
      </c>
      <c r="G1623" t="s">
        <v>1044</v>
      </c>
      <c r="H1623">
        <f>_xlfn.XLOOKUP(D1623, productos!$A$2:$A$150, productos!$D$2:$D$150, "No Encontrado", 0)</f>
        <v>7.25</v>
      </c>
      <c r="I1623">
        <f t="shared" si="25"/>
        <v>36.25</v>
      </c>
    </row>
    <row r="1624" spans="1:9" x14ac:dyDescent="0.25">
      <c r="A1624">
        <v>2430</v>
      </c>
      <c r="B1624" s="1">
        <v>45479</v>
      </c>
      <c r="C1624">
        <v>264</v>
      </c>
      <c r="D1624">
        <v>9</v>
      </c>
      <c r="E1624">
        <v>4</v>
      </c>
      <c r="F1624">
        <v>5</v>
      </c>
      <c r="G1624" t="s">
        <v>1044</v>
      </c>
      <c r="H1624">
        <f>_xlfn.XLOOKUP(D1624, productos!$A$2:$A$150, productos!$D$2:$D$150, "No Encontrado", 0)</f>
        <v>18.559999999999999</v>
      </c>
      <c r="I1624">
        <f t="shared" si="25"/>
        <v>74.239999999999995</v>
      </c>
    </row>
    <row r="1625" spans="1:9" x14ac:dyDescent="0.25">
      <c r="A1625">
        <v>2900</v>
      </c>
      <c r="B1625" s="1">
        <v>45479</v>
      </c>
      <c r="C1625">
        <v>152</v>
      </c>
      <c r="D1625">
        <v>12</v>
      </c>
      <c r="E1625">
        <v>5</v>
      </c>
      <c r="F1625">
        <v>4</v>
      </c>
      <c r="G1625" t="s">
        <v>1044</v>
      </c>
      <c r="H1625">
        <f>_xlfn.XLOOKUP(D1625, productos!$A$2:$A$150, productos!$D$2:$D$150, "No Encontrado", 0)</f>
        <v>8.1199999999999992</v>
      </c>
      <c r="I1625">
        <f t="shared" si="25"/>
        <v>40.599999999999994</v>
      </c>
    </row>
    <row r="1626" spans="1:9" x14ac:dyDescent="0.25">
      <c r="A1626">
        <v>2976</v>
      </c>
      <c r="B1626" s="1">
        <v>45479</v>
      </c>
      <c r="C1626">
        <v>214</v>
      </c>
      <c r="D1626">
        <v>29</v>
      </c>
      <c r="E1626">
        <v>5</v>
      </c>
      <c r="F1626">
        <v>3</v>
      </c>
      <c r="G1626" t="s">
        <v>1044</v>
      </c>
      <c r="H1626">
        <f>_xlfn.XLOOKUP(D1626, productos!$A$2:$A$150, productos!$D$2:$D$150, "No Encontrado", 0)</f>
        <v>11.54</v>
      </c>
      <c r="I1626">
        <f t="shared" si="25"/>
        <v>57.699999999999996</v>
      </c>
    </row>
    <row r="1627" spans="1:9" x14ac:dyDescent="0.25">
      <c r="A1627">
        <v>536</v>
      </c>
      <c r="B1627" s="1">
        <v>45480</v>
      </c>
      <c r="C1627">
        <v>117</v>
      </c>
      <c r="D1627">
        <v>16</v>
      </c>
      <c r="E1627">
        <v>1</v>
      </c>
      <c r="F1627">
        <v>5</v>
      </c>
      <c r="G1627" t="s">
        <v>1044</v>
      </c>
      <c r="H1627">
        <f>_xlfn.XLOOKUP(D1627, productos!$A$2:$A$150, productos!$D$2:$D$150, "No Encontrado", 0)</f>
        <v>15.23</v>
      </c>
      <c r="I1627">
        <f t="shared" si="25"/>
        <v>15.23</v>
      </c>
    </row>
    <row r="1628" spans="1:9" x14ac:dyDescent="0.25">
      <c r="A1628">
        <v>551</v>
      </c>
      <c r="B1628" s="1">
        <v>45480</v>
      </c>
      <c r="C1628">
        <v>146</v>
      </c>
      <c r="D1628">
        <v>7</v>
      </c>
      <c r="E1628">
        <v>6</v>
      </c>
      <c r="F1628">
        <v>4</v>
      </c>
      <c r="G1628" t="s">
        <v>1044</v>
      </c>
      <c r="H1628">
        <f>_xlfn.XLOOKUP(D1628, productos!$A$2:$A$150, productos!$D$2:$D$150, "No Encontrado", 0)</f>
        <v>11.25</v>
      </c>
      <c r="I1628">
        <f t="shared" si="25"/>
        <v>67.5</v>
      </c>
    </row>
    <row r="1629" spans="1:9" x14ac:dyDescent="0.25">
      <c r="A1629">
        <v>957</v>
      </c>
      <c r="B1629" s="1">
        <v>45480</v>
      </c>
      <c r="C1629">
        <v>198</v>
      </c>
      <c r="D1629">
        <v>17</v>
      </c>
      <c r="E1629">
        <v>5</v>
      </c>
      <c r="F1629">
        <v>4</v>
      </c>
      <c r="G1629" t="s">
        <v>1044</v>
      </c>
      <c r="H1629">
        <f>_xlfn.XLOOKUP(D1629, productos!$A$2:$A$150, productos!$D$2:$D$150, "No Encontrado", 0)</f>
        <v>6.54</v>
      </c>
      <c r="I1629">
        <f t="shared" si="25"/>
        <v>32.700000000000003</v>
      </c>
    </row>
    <row r="1630" spans="1:9" x14ac:dyDescent="0.25">
      <c r="A1630">
        <v>975</v>
      </c>
      <c r="B1630" s="1">
        <v>45480</v>
      </c>
      <c r="C1630">
        <v>40</v>
      </c>
      <c r="D1630">
        <v>34</v>
      </c>
      <c r="E1630">
        <v>6</v>
      </c>
      <c r="F1630">
        <v>4</v>
      </c>
      <c r="G1630" t="s">
        <v>1044</v>
      </c>
      <c r="H1630">
        <f>_xlfn.XLOOKUP(D1630, productos!$A$2:$A$150, productos!$D$2:$D$150, "No Encontrado", 0)</f>
        <v>5.45</v>
      </c>
      <c r="I1630">
        <f t="shared" si="25"/>
        <v>32.700000000000003</v>
      </c>
    </row>
    <row r="1631" spans="1:9" x14ac:dyDescent="0.25">
      <c r="A1631">
        <v>981</v>
      </c>
      <c r="B1631" s="1">
        <v>45480</v>
      </c>
      <c r="C1631">
        <v>33</v>
      </c>
      <c r="D1631">
        <v>17</v>
      </c>
      <c r="E1631">
        <v>6</v>
      </c>
      <c r="F1631">
        <v>5</v>
      </c>
      <c r="G1631" t="s">
        <v>1044</v>
      </c>
      <c r="H1631">
        <f>_xlfn.XLOOKUP(D1631, productos!$A$2:$A$150, productos!$D$2:$D$150, "No Encontrado", 0)</f>
        <v>6.54</v>
      </c>
      <c r="I1631">
        <f t="shared" si="25"/>
        <v>39.24</v>
      </c>
    </row>
    <row r="1632" spans="1:9" x14ac:dyDescent="0.25">
      <c r="A1632">
        <v>1309</v>
      </c>
      <c r="B1632" s="1">
        <v>45480</v>
      </c>
      <c r="C1632">
        <v>4</v>
      </c>
      <c r="D1632">
        <v>24</v>
      </c>
      <c r="E1632">
        <v>3</v>
      </c>
      <c r="F1632">
        <v>5</v>
      </c>
      <c r="G1632" t="s">
        <v>1045</v>
      </c>
      <c r="H1632">
        <f>_xlfn.XLOOKUP(D1632, productos!$A$2:$A$150, productos!$D$2:$D$150, "No Encontrado", 0)</f>
        <v>13.54</v>
      </c>
      <c r="I1632">
        <f t="shared" si="25"/>
        <v>40.619999999999997</v>
      </c>
    </row>
    <row r="1633" spans="1:9" x14ac:dyDescent="0.25">
      <c r="A1633">
        <v>1632</v>
      </c>
      <c r="B1633" s="1">
        <v>45480</v>
      </c>
      <c r="C1633">
        <v>224</v>
      </c>
      <c r="D1633">
        <v>38</v>
      </c>
      <c r="E1633">
        <v>1</v>
      </c>
      <c r="F1633">
        <v>1</v>
      </c>
      <c r="G1633" t="s">
        <v>1044</v>
      </c>
      <c r="H1633">
        <f>_xlfn.XLOOKUP(D1633, productos!$A$2:$A$150, productos!$D$2:$D$150, "No Encontrado", 0)</f>
        <v>6.21</v>
      </c>
      <c r="I1633">
        <f t="shared" si="25"/>
        <v>6.21</v>
      </c>
    </row>
    <row r="1634" spans="1:9" x14ac:dyDescent="0.25">
      <c r="A1634">
        <v>1813</v>
      </c>
      <c r="B1634" s="1">
        <v>45480</v>
      </c>
      <c r="C1634">
        <v>90</v>
      </c>
      <c r="D1634">
        <v>35</v>
      </c>
      <c r="E1634">
        <v>1</v>
      </c>
      <c r="F1634">
        <v>3</v>
      </c>
      <c r="G1634" t="s">
        <v>1045</v>
      </c>
      <c r="H1634">
        <f>_xlfn.XLOOKUP(D1634, productos!$A$2:$A$150, productos!$D$2:$D$150, "No Encontrado", 0)</f>
        <v>4.25</v>
      </c>
      <c r="I1634">
        <f t="shared" si="25"/>
        <v>4.25</v>
      </c>
    </row>
    <row r="1635" spans="1:9" x14ac:dyDescent="0.25">
      <c r="A1635">
        <v>2198</v>
      </c>
      <c r="B1635" s="1">
        <v>45480</v>
      </c>
      <c r="C1635">
        <v>213</v>
      </c>
      <c r="D1635">
        <v>13</v>
      </c>
      <c r="E1635">
        <v>1</v>
      </c>
      <c r="F1635">
        <v>2</v>
      </c>
      <c r="G1635" t="s">
        <v>1044</v>
      </c>
      <c r="H1635">
        <f>_xlfn.XLOOKUP(D1635, productos!$A$2:$A$150, productos!$D$2:$D$150, "No Encontrado", 0)</f>
        <v>12.56</v>
      </c>
      <c r="I1635">
        <f t="shared" si="25"/>
        <v>12.56</v>
      </c>
    </row>
    <row r="1636" spans="1:9" x14ac:dyDescent="0.25">
      <c r="A1636">
        <v>2832</v>
      </c>
      <c r="B1636" s="1">
        <v>45480</v>
      </c>
      <c r="C1636">
        <v>171</v>
      </c>
      <c r="D1636">
        <v>31</v>
      </c>
      <c r="E1636">
        <v>2</v>
      </c>
      <c r="F1636">
        <v>4</v>
      </c>
      <c r="G1636" t="s">
        <v>1044</v>
      </c>
      <c r="H1636">
        <f>_xlfn.XLOOKUP(D1636, productos!$A$2:$A$150, productos!$D$2:$D$150, "No Encontrado", 0)</f>
        <v>5.24</v>
      </c>
      <c r="I1636">
        <f t="shared" si="25"/>
        <v>10.48</v>
      </c>
    </row>
    <row r="1637" spans="1:9" x14ac:dyDescent="0.25">
      <c r="A1637">
        <v>2958</v>
      </c>
      <c r="B1637" s="1">
        <v>45480</v>
      </c>
      <c r="C1637">
        <v>142</v>
      </c>
      <c r="D1637">
        <v>12</v>
      </c>
      <c r="E1637">
        <v>6</v>
      </c>
      <c r="F1637">
        <v>5</v>
      </c>
      <c r="G1637" t="s">
        <v>1044</v>
      </c>
      <c r="H1637">
        <f>_xlfn.XLOOKUP(D1637, productos!$A$2:$A$150, productos!$D$2:$D$150, "No Encontrado", 0)</f>
        <v>8.1199999999999992</v>
      </c>
      <c r="I1637">
        <f t="shared" si="25"/>
        <v>48.72</v>
      </c>
    </row>
    <row r="1638" spans="1:9" x14ac:dyDescent="0.25">
      <c r="A1638">
        <v>663</v>
      </c>
      <c r="B1638" s="1">
        <v>45481</v>
      </c>
      <c r="C1638">
        <v>183</v>
      </c>
      <c r="D1638">
        <v>18</v>
      </c>
      <c r="E1638">
        <v>2</v>
      </c>
      <c r="F1638">
        <v>5</v>
      </c>
      <c r="G1638" t="s">
        <v>1044</v>
      </c>
      <c r="H1638">
        <f>_xlfn.XLOOKUP(D1638, productos!$A$2:$A$150, productos!$D$2:$D$150, "No Encontrado", 0)</f>
        <v>7.25</v>
      </c>
      <c r="I1638">
        <f t="shared" si="25"/>
        <v>14.5</v>
      </c>
    </row>
    <row r="1639" spans="1:9" x14ac:dyDescent="0.25">
      <c r="A1639">
        <v>746</v>
      </c>
      <c r="B1639" s="1">
        <v>45481</v>
      </c>
      <c r="C1639">
        <v>47</v>
      </c>
      <c r="D1639">
        <v>32</v>
      </c>
      <c r="E1639">
        <v>4</v>
      </c>
      <c r="F1639">
        <v>4</v>
      </c>
      <c r="G1639" t="s">
        <v>1045</v>
      </c>
      <c r="H1639">
        <f>_xlfn.XLOOKUP(D1639, productos!$A$2:$A$150, productos!$D$2:$D$150, "No Encontrado", 0)</f>
        <v>6.25</v>
      </c>
      <c r="I1639">
        <f t="shared" si="25"/>
        <v>25</v>
      </c>
    </row>
    <row r="1640" spans="1:9" x14ac:dyDescent="0.25">
      <c r="A1640">
        <v>1123</v>
      </c>
      <c r="B1640" s="1">
        <v>45481</v>
      </c>
      <c r="C1640">
        <v>164</v>
      </c>
      <c r="D1640">
        <v>9</v>
      </c>
      <c r="E1640">
        <v>5</v>
      </c>
      <c r="F1640">
        <v>4</v>
      </c>
      <c r="G1640" t="s">
        <v>1044</v>
      </c>
      <c r="H1640">
        <f>_xlfn.XLOOKUP(D1640, productos!$A$2:$A$150, productos!$D$2:$D$150, "No Encontrado", 0)</f>
        <v>18.559999999999999</v>
      </c>
      <c r="I1640">
        <f t="shared" si="25"/>
        <v>92.8</v>
      </c>
    </row>
    <row r="1641" spans="1:9" x14ac:dyDescent="0.25">
      <c r="A1641">
        <v>1944</v>
      </c>
      <c r="B1641" s="1">
        <v>45481</v>
      </c>
      <c r="C1641">
        <v>130</v>
      </c>
      <c r="D1641">
        <v>1</v>
      </c>
      <c r="E1641">
        <v>6</v>
      </c>
      <c r="F1641">
        <v>5</v>
      </c>
      <c r="G1641" t="s">
        <v>1044</v>
      </c>
      <c r="H1641">
        <f>_xlfn.XLOOKUP(D1641, productos!$A$2:$A$150, productos!$D$2:$D$150, "No Encontrado", 0)</f>
        <v>12.24</v>
      </c>
      <c r="I1641">
        <f t="shared" si="25"/>
        <v>73.44</v>
      </c>
    </row>
    <row r="1642" spans="1:9" x14ac:dyDescent="0.25">
      <c r="A1642">
        <v>1989</v>
      </c>
      <c r="B1642" s="1">
        <v>45481</v>
      </c>
      <c r="C1642">
        <v>274</v>
      </c>
      <c r="D1642">
        <v>17</v>
      </c>
      <c r="E1642">
        <v>2</v>
      </c>
      <c r="F1642">
        <v>3</v>
      </c>
      <c r="G1642" t="s">
        <v>1044</v>
      </c>
      <c r="H1642">
        <f>_xlfn.XLOOKUP(D1642, productos!$A$2:$A$150, productos!$D$2:$D$150, "No Encontrado", 0)</f>
        <v>6.54</v>
      </c>
      <c r="I1642">
        <f t="shared" si="25"/>
        <v>13.08</v>
      </c>
    </row>
    <row r="1643" spans="1:9" x14ac:dyDescent="0.25">
      <c r="A1643">
        <v>2256</v>
      </c>
      <c r="B1643" s="1">
        <v>45481</v>
      </c>
      <c r="C1643">
        <v>242</v>
      </c>
      <c r="D1643">
        <v>31</v>
      </c>
      <c r="E1643">
        <v>5</v>
      </c>
      <c r="F1643">
        <v>2</v>
      </c>
      <c r="G1643" t="s">
        <v>1044</v>
      </c>
      <c r="H1643">
        <f>_xlfn.XLOOKUP(D1643, productos!$A$2:$A$150, productos!$D$2:$D$150, "No Encontrado", 0)</f>
        <v>5.24</v>
      </c>
      <c r="I1643">
        <f t="shared" si="25"/>
        <v>26.200000000000003</v>
      </c>
    </row>
    <row r="1644" spans="1:9" x14ac:dyDescent="0.25">
      <c r="A1644">
        <v>372</v>
      </c>
      <c r="B1644" s="1">
        <v>45482</v>
      </c>
      <c r="C1644">
        <v>15</v>
      </c>
      <c r="D1644">
        <v>1</v>
      </c>
      <c r="E1644">
        <v>3</v>
      </c>
      <c r="F1644">
        <v>5</v>
      </c>
      <c r="G1644" t="s">
        <v>1044</v>
      </c>
      <c r="H1644">
        <f>_xlfn.XLOOKUP(D1644, productos!$A$2:$A$150, productos!$D$2:$D$150, "No Encontrado", 0)</f>
        <v>12.24</v>
      </c>
      <c r="I1644">
        <f t="shared" si="25"/>
        <v>36.72</v>
      </c>
    </row>
    <row r="1645" spans="1:9" x14ac:dyDescent="0.25">
      <c r="A1645">
        <v>457</v>
      </c>
      <c r="B1645" s="1">
        <v>45482</v>
      </c>
      <c r="C1645">
        <v>154</v>
      </c>
      <c r="D1645">
        <v>31</v>
      </c>
      <c r="E1645">
        <v>5</v>
      </c>
      <c r="F1645">
        <v>5</v>
      </c>
      <c r="G1645" t="s">
        <v>1045</v>
      </c>
      <c r="H1645">
        <f>_xlfn.XLOOKUP(D1645, productos!$A$2:$A$150, productos!$D$2:$D$150, "No Encontrado", 0)</f>
        <v>5.24</v>
      </c>
      <c r="I1645">
        <f t="shared" si="25"/>
        <v>26.200000000000003</v>
      </c>
    </row>
    <row r="1646" spans="1:9" x14ac:dyDescent="0.25">
      <c r="A1646">
        <v>557</v>
      </c>
      <c r="B1646" s="1">
        <v>45482</v>
      </c>
      <c r="C1646">
        <v>208</v>
      </c>
      <c r="D1646">
        <v>8</v>
      </c>
      <c r="E1646">
        <v>3</v>
      </c>
      <c r="F1646">
        <v>5</v>
      </c>
      <c r="G1646" t="s">
        <v>1044</v>
      </c>
      <c r="H1646">
        <f>_xlfn.XLOOKUP(D1646, productos!$A$2:$A$150, productos!$D$2:$D$150, "No Encontrado", 0)</f>
        <v>16.21</v>
      </c>
      <c r="I1646">
        <f t="shared" si="25"/>
        <v>48.63</v>
      </c>
    </row>
    <row r="1647" spans="1:9" x14ac:dyDescent="0.25">
      <c r="A1647">
        <v>798</v>
      </c>
      <c r="B1647" s="1">
        <v>45482</v>
      </c>
      <c r="C1647">
        <v>10</v>
      </c>
      <c r="D1647">
        <v>24</v>
      </c>
      <c r="E1647">
        <v>5</v>
      </c>
      <c r="F1647">
        <v>4</v>
      </c>
      <c r="G1647" t="s">
        <v>1044</v>
      </c>
      <c r="H1647">
        <f>_xlfn.XLOOKUP(D1647, productos!$A$2:$A$150, productos!$D$2:$D$150, "No Encontrado", 0)</f>
        <v>13.54</v>
      </c>
      <c r="I1647">
        <f t="shared" si="25"/>
        <v>67.699999999999989</v>
      </c>
    </row>
    <row r="1648" spans="1:9" x14ac:dyDescent="0.25">
      <c r="A1648">
        <v>1103</v>
      </c>
      <c r="B1648" s="1">
        <v>45482</v>
      </c>
      <c r="C1648">
        <v>10</v>
      </c>
      <c r="D1648">
        <v>34</v>
      </c>
      <c r="E1648">
        <v>6</v>
      </c>
      <c r="F1648">
        <v>5</v>
      </c>
      <c r="G1648" t="s">
        <v>1044</v>
      </c>
      <c r="H1648">
        <f>_xlfn.XLOOKUP(D1648, productos!$A$2:$A$150, productos!$D$2:$D$150, "No Encontrado", 0)</f>
        <v>5.45</v>
      </c>
      <c r="I1648">
        <f t="shared" si="25"/>
        <v>32.700000000000003</v>
      </c>
    </row>
    <row r="1649" spans="1:9" x14ac:dyDescent="0.25">
      <c r="A1649">
        <v>1176</v>
      </c>
      <c r="B1649" s="1">
        <v>45482</v>
      </c>
      <c r="C1649">
        <v>253</v>
      </c>
      <c r="D1649">
        <v>34</v>
      </c>
      <c r="E1649">
        <v>6</v>
      </c>
      <c r="F1649">
        <v>5</v>
      </c>
      <c r="G1649" t="s">
        <v>1044</v>
      </c>
      <c r="H1649">
        <f>_xlfn.XLOOKUP(D1649, productos!$A$2:$A$150, productos!$D$2:$D$150, "No Encontrado", 0)</f>
        <v>5.45</v>
      </c>
      <c r="I1649">
        <f t="shared" si="25"/>
        <v>32.700000000000003</v>
      </c>
    </row>
    <row r="1650" spans="1:9" x14ac:dyDescent="0.25">
      <c r="A1650">
        <v>1475</v>
      </c>
      <c r="B1650" s="1">
        <v>45482</v>
      </c>
      <c r="C1650">
        <v>39</v>
      </c>
      <c r="D1650">
        <v>33</v>
      </c>
      <c r="E1650">
        <v>5</v>
      </c>
      <c r="F1650">
        <v>5</v>
      </c>
      <c r="G1650" t="s">
        <v>1044</v>
      </c>
      <c r="H1650">
        <f>_xlfn.XLOOKUP(D1650, productos!$A$2:$A$150, productos!$D$2:$D$150, "No Encontrado", 0)</f>
        <v>8.5399999999999991</v>
      </c>
      <c r="I1650">
        <f t="shared" si="25"/>
        <v>42.699999999999996</v>
      </c>
    </row>
    <row r="1651" spans="1:9" x14ac:dyDescent="0.25">
      <c r="A1651">
        <v>1541</v>
      </c>
      <c r="B1651" s="1">
        <v>45482</v>
      </c>
      <c r="C1651">
        <v>184</v>
      </c>
      <c r="D1651">
        <v>13</v>
      </c>
      <c r="E1651">
        <v>2</v>
      </c>
      <c r="F1651">
        <v>5</v>
      </c>
      <c r="G1651" t="s">
        <v>1045</v>
      </c>
      <c r="H1651">
        <f>_xlfn.XLOOKUP(D1651, productos!$A$2:$A$150, productos!$D$2:$D$150, "No Encontrado", 0)</f>
        <v>12.56</v>
      </c>
      <c r="I1651">
        <f t="shared" si="25"/>
        <v>25.12</v>
      </c>
    </row>
    <row r="1652" spans="1:9" x14ac:dyDescent="0.25">
      <c r="A1652">
        <v>1790</v>
      </c>
      <c r="B1652" s="1">
        <v>45482</v>
      </c>
      <c r="C1652">
        <v>225</v>
      </c>
      <c r="D1652">
        <v>30</v>
      </c>
      <c r="E1652">
        <v>2</v>
      </c>
      <c r="F1652">
        <v>2</v>
      </c>
      <c r="G1652" t="s">
        <v>1044</v>
      </c>
      <c r="H1652">
        <f>_xlfn.XLOOKUP(D1652, productos!$A$2:$A$150, productos!$D$2:$D$150, "No Encontrado", 0)</f>
        <v>13.54</v>
      </c>
      <c r="I1652">
        <f t="shared" si="25"/>
        <v>27.08</v>
      </c>
    </row>
    <row r="1653" spans="1:9" x14ac:dyDescent="0.25">
      <c r="A1653">
        <v>1941</v>
      </c>
      <c r="B1653" s="1">
        <v>45482</v>
      </c>
      <c r="C1653">
        <v>133</v>
      </c>
      <c r="D1653">
        <v>13</v>
      </c>
      <c r="E1653">
        <v>2</v>
      </c>
      <c r="F1653">
        <v>4</v>
      </c>
      <c r="G1653" t="s">
        <v>1045</v>
      </c>
      <c r="H1653">
        <f>_xlfn.XLOOKUP(D1653, productos!$A$2:$A$150, productos!$D$2:$D$150, "No Encontrado", 0)</f>
        <v>12.56</v>
      </c>
      <c r="I1653">
        <f t="shared" si="25"/>
        <v>25.12</v>
      </c>
    </row>
    <row r="1654" spans="1:9" x14ac:dyDescent="0.25">
      <c r="A1654">
        <v>2064</v>
      </c>
      <c r="B1654" s="1">
        <v>45482</v>
      </c>
      <c r="C1654">
        <v>306</v>
      </c>
      <c r="D1654">
        <v>30</v>
      </c>
      <c r="E1654">
        <v>5</v>
      </c>
      <c r="F1654">
        <v>4</v>
      </c>
      <c r="G1654" t="s">
        <v>1044</v>
      </c>
      <c r="H1654">
        <f>_xlfn.XLOOKUP(D1654, productos!$A$2:$A$150, productos!$D$2:$D$150, "No Encontrado", 0)</f>
        <v>13.54</v>
      </c>
      <c r="I1654">
        <f t="shared" si="25"/>
        <v>67.699999999999989</v>
      </c>
    </row>
    <row r="1655" spans="1:9" x14ac:dyDescent="0.25">
      <c r="A1655">
        <v>2432</v>
      </c>
      <c r="B1655" s="1">
        <v>45482</v>
      </c>
      <c r="C1655">
        <v>190</v>
      </c>
      <c r="D1655">
        <v>20</v>
      </c>
      <c r="E1655">
        <v>2</v>
      </c>
      <c r="F1655">
        <v>5</v>
      </c>
      <c r="G1655" t="s">
        <v>1045</v>
      </c>
      <c r="H1655">
        <f>_xlfn.XLOOKUP(D1655, productos!$A$2:$A$150, productos!$D$2:$D$150, "No Encontrado", 0)</f>
        <v>4.25</v>
      </c>
      <c r="I1655">
        <f t="shared" si="25"/>
        <v>8.5</v>
      </c>
    </row>
    <row r="1656" spans="1:9" x14ac:dyDescent="0.25">
      <c r="A1656">
        <v>2536</v>
      </c>
      <c r="B1656" s="1">
        <v>45482</v>
      </c>
      <c r="C1656">
        <v>194</v>
      </c>
      <c r="D1656">
        <v>29</v>
      </c>
      <c r="E1656">
        <v>3</v>
      </c>
      <c r="F1656">
        <v>3</v>
      </c>
      <c r="G1656" t="s">
        <v>1044</v>
      </c>
      <c r="H1656">
        <f>_xlfn.XLOOKUP(D1656, productos!$A$2:$A$150, productos!$D$2:$D$150, "No Encontrado", 0)</f>
        <v>11.54</v>
      </c>
      <c r="I1656">
        <f t="shared" si="25"/>
        <v>34.619999999999997</v>
      </c>
    </row>
    <row r="1657" spans="1:9" x14ac:dyDescent="0.25">
      <c r="A1657">
        <v>2629</v>
      </c>
      <c r="B1657" s="1">
        <v>45482</v>
      </c>
      <c r="C1657">
        <v>233</v>
      </c>
      <c r="D1657">
        <v>19</v>
      </c>
      <c r="E1657">
        <v>1</v>
      </c>
      <c r="F1657">
        <v>4</v>
      </c>
      <c r="G1657" t="s">
        <v>1045</v>
      </c>
      <c r="H1657">
        <f>_xlfn.XLOOKUP(D1657, productos!$A$2:$A$150, productos!$D$2:$D$150, "No Encontrado", 0)</f>
        <v>6.54</v>
      </c>
      <c r="I1657">
        <f t="shared" si="25"/>
        <v>6.54</v>
      </c>
    </row>
    <row r="1658" spans="1:9" x14ac:dyDescent="0.25">
      <c r="A1658">
        <v>2639</v>
      </c>
      <c r="B1658" s="1">
        <v>45482</v>
      </c>
      <c r="C1658">
        <v>228</v>
      </c>
      <c r="D1658">
        <v>35</v>
      </c>
      <c r="E1658">
        <v>5</v>
      </c>
      <c r="F1658">
        <v>5</v>
      </c>
      <c r="G1658" t="s">
        <v>1044</v>
      </c>
      <c r="H1658">
        <f>_xlfn.XLOOKUP(D1658, productos!$A$2:$A$150, productos!$D$2:$D$150, "No Encontrado", 0)</f>
        <v>4.25</v>
      </c>
      <c r="I1658">
        <f t="shared" si="25"/>
        <v>21.25</v>
      </c>
    </row>
    <row r="1659" spans="1:9" x14ac:dyDescent="0.25">
      <c r="A1659">
        <v>2727</v>
      </c>
      <c r="B1659" s="1">
        <v>45482</v>
      </c>
      <c r="C1659">
        <v>167</v>
      </c>
      <c r="D1659">
        <v>17</v>
      </c>
      <c r="E1659">
        <v>1</v>
      </c>
      <c r="F1659">
        <v>3</v>
      </c>
      <c r="G1659" t="s">
        <v>1044</v>
      </c>
      <c r="H1659">
        <f>_xlfn.XLOOKUP(D1659, productos!$A$2:$A$150, productos!$D$2:$D$150, "No Encontrado", 0)</f>
        <v>6.54</v>
      </c>
      <c r="I1659">
        <f t="shared" si="25"/>
        <v>6.54</v>
      </c>
    </row>
    <row r="1660" spans="1:9" x14ac:dyDescent="0.25">
      <c r="A1660">
        <v>2788</v>
      </c>
      <c r="B1660" s="1">
        <v>45482</v>
      </c>
      <c r="C1660">
        <v>18</v>
      </c>
      <c r="D1660">
        <v>25</v>
      </c>
      <c r="E1660">
        <v>3</v>
      </c>
      <c r="F1660">
        <v>4</v>
      </c>
      <c r="G1660" t="s">
        <v>1044</v>
      </c>
      <c r="H1660">
        <f>_xlfn.XLOOKUP(D1660, productos!$A$2:$A$150, productos!$D$2:$D$150, "No Encontrado", 0)</f>
        <v>15.45</v>
      </c>
      <c r="I1660">
        <f t="shared" si="25"/>
        <v>46.349999999999994</v>
      </c>
    </row>
    <row r="1661" spans="1:9" x14ac:dyDescent="0.25">
      <c r="A1661">
        <v>2822</v>
      </c>
      <c r="B1661" s="1">
        <v>45482</v>
      </c>
      <c r="C1661">
        <v>27</v>
      </c>
      <c r="D1661">
        <v>14</v>
      </c>
      <c r="E1661">
        <v>1</v>
      </c>
      <c r="F1661">
        <v>1</v>
      </c>
      <c r="G1661" t="s">
        <v>1044</v>
      </c>
      <c r="H1661">
        <f>_xlfn.XLOOKUP(D1661, productos!$A$2:$A$150, productos!$D$2:$D$150, "No Encontrado", 0)</f>
        <v>12.36</v>
      </c>
      <c r="I1661">
        <f t="shared" si="25"/>
        <v>12.36</v>
      </c>
    </row>
    <row r="1662" spans="1:9" x14ac:dyDescent="0.25">
      <c r="A1662">
        <v>1393</v>
      </c>
      <c r="B1662" s="1">
        <v>45483</v>
      </c>
      <c r="C1662">
        <v>121</v>
      </c>
      <c r="D1662">
        <v>27</v>
      </c>
      <c r="E1662">
        <v>5</v>
      </c>
      <c r="F1662">
        <v>3</v>
      </c>
      <c r="G1662" t="s">
        <v>1044</v>
      </c>
      <c r="H1662">
        <f>_xlfn.XLOOKUP(D1662, productos!$A$2:$A$150, productos!$D$2:$D$150, "No Encontrado", 0)</f>
        <v>6.21</v>
      </c>
      <c r="I1662">
        <f t="shared" si="25"/>
        <v>31.05</v>
      </c>
    </row>
    <row r="1663" spans="1:9" x14ac:dyDescent="0.25">
      <c r="A1663">
        <v>1628</v>
      </c>
      <c r="B1663" s="1">
        <v>45483</v>
      </c>
      <c r="C1663">
        <v>307</v>
      </c>
      <c r="D1663">
        <v>35</v>
      </c>
      <c r="E1663">
        <v>2</v>
      </c>
      <c r="F1663">
        <v>4</v>
      </c>
      <c r="G1663" t="s">
        <v>1044</v>
      </c>
      <c r="H1663">
        <f>_xlfn.XLOOKUP(D1663, productos!$A$2:$A$150, productos!$D$2:$D$150, "No Encontrado", 0)</f>
        <v>4.25</v>
      </c>
      <c r="I1663">
        <f t="shared" si="25"/>
        <v>8.5</v>
      </c>
    </row>
    <row r="1664" spans="1:9" x14ac:dyDescent="0.25">
      <c r="A1664">
        <v>2414</v>
      </c>
      <c r="B1664" s="1">
        <v>45483</v>
      </c>
      <c r="C1664">
        <v>97</v>
      </c>
      <c r="D1664">
        <v>19</v>
      </c>
      <c r="E1664">
        <v>3</v>
      </c>
      <c r="F1664">
        <v>2</v>
      </c>
      <c r="G1664" t="s">
        <v>1044</v>
      </c>
      <c r="H1664">
        <f>_xlfn.XLOOKUP(D1664, productos!$A$2:$A$150, productos!$D$2:$D$150, "No Encontrado", 0)</f>
        <v>6.54</v>
      </c>
      <c r="I1664">
        <f t="shared" si="25"/>
        <v>19.62</v>
      </c>
    </row>
    <row r="1665" spans="1:9" x14ac:dyDescent="0.25">
      <c r="A1665">
        <v>2857</v>
      </c>
      <c r="B1665" s="1">
        <v>45483</v>
      </c>
      <c r="C1665">
        <v>111</v>
      </c>
      <c r="D1665">
        <v>25</v>
      </c>
      <c r="E1665">
        <v>3</v>
      </c>
      <c r="F1665">
        <v>5</v>
      </c>
      <c r="G1665" t="s">
        <v>1044</v>
      </c>
      <c r="H1665">
        <f>_xlfn.XLOOKUP(D1665, productos!$A$2:$A$150, productos!$D$2:$D$150, "No Encontrado", 0)</f>
        <v>15.45</v>
      </c>
      <c r="I1665">
        <f t="shared" si="25"/>
        <v>46.349999999999994</v>
      </c>
    </row>
    <row r="1666" spans="1:9" x14ac:dyDescent="0.25">
      <c r="A1666">
        <v>848</v>
      </c>
      <c r="B1666" s="1">
        <v>45484</v>
      </c>
      <c r="C1666">
        <v>227</v>
      </c>
      <c r="D1666">
        <v>1</v>
      </c>
      <c r="E1666">
        <v>3</v>
      </c>
      <c r="F1666">
        <v>3</v>
      </c>
      <c r="G1666" t="s">
        <v>1045</v>
      </c>
      <c r="H1666">
        <f>_xlfn.XLOOKUP(D1666, productos!$A$2:$A$150, productos!$D$2:$D$150, "No Encontrado", 0)</f>
        <v>12.24</v>
      </c>
      <c r="I1666">
        <f t="shared" si="25"/>
        <v>36.72</v>
      </c>
    </row>
    <row r="1667" spans="1:9" x14ac:dyDescent="0.25">
      <c r="A1667">
        <v>1388</v>
      </c>
      <c r="B1667" s="1">
        <v>45484</v>
      </c>
      <c r="C1667">
        <v>79</v>
      </c>
      <c r="D1667">
        <v>5</v>
      </c>
      <c r="E1667">
        <v>3</v>
      </c>
      <c r="F1667">
        <v>4</v>
      </c>
      <c r="G1667" t="s">
        <v>1044</v>
      </c>
      <c r="H1667">
        <f>_xlfn.XLOOKUP(D1667, productos!$A$2:$A$150, productos!$D$2:$D$150, "No Encontrado", 0)</f>
        <v>5.65</v>
      </c>
      <c r="I1667">
        <f t="shared" ref="I1667:I1730" si="26">E1667*H1667</f>
        <v>16.950000000000003</v>
      </c>
    </row>
    <row r="1668" spans="1:9" x14ac:dyDescent="0.25">
      <c r="A1668">
        <v>1514</v>
      </c>
      <c r="B1668" s="1">
        <v>45484</v>
      </c>
      <c r="C1668">
        <v>156</v>
      </c>
      <c r="D1668">
        <v>14</v>
      </c>
      <c r="E1668">
        <v>1</v>
      </c>
      <c r="F1668">
        <v>4</v>
      </c>
      <c r="G1668" t="s">
        <v>1044</v>
      </c>
      <c r="H1668">
        <f>_xlfn.XLOOKUP(D1668, productos!$A$2:$A$150, productos!$D$2:$D$150, "No Encontrado", 0)</f>
        <v>12.36</v>
      </c>
      <c r="I1668">
        <f t="shared" si="26"/>
        <v>12.36</v>
      </c>
    </row>
    <row r="1669" spans="1:9" x14ac:dyDescent="0.25">
      <c r="A1669">
        <v>1611</v>
      </c>
      <c r="B1669" s="1">
        <v>45484</v>
      </c>
      <c r="C1669">
        <v>297</v>
      </c>
      <c r="D1669">
        <v>8</v>
      </c>
      <c r="E1669">
        <v>2</v>
      </c>
      <c r="F1669">
        <v>4</v>
      </c>
      <c r="G1669" t="s">
        <v>1044</v>
      </c>
      <c r="H1669">
        <f>_xlfn.XLOOKUP(D1669, productos!$A$2:$A$150, productos!$D$2:$D$150, "No Encontrado", 0)</f>
        <v>16.21</v>
      </c>
      <c r="I1669">
        <f t="shared" si="26"/>
        <v>32.42</v>
      </c>
    </row>
    <row r="1670" spans="1:9" x14ac:dyDescent="0.25">
      <c r="A1670">
        <v>2254</v>
      </c>
      <c r="B1670" s="1">
        <v>45484</v>
      </c>
      <c r="C1670">
        <v>303</v>
      </c>
      <c r="D1670">
        <v>10</v>
      </c>
      <c r="E1670">
        <v>2</v>
      </c>
      <c r="F1670">
        <v>3</v>
      </c>
      <c r="G1670" t="s">
        <v>1045</v>
      </c>
      <c r="H1670">
        <f>_xlfn.XLOOKUP(D1670, productos!$A$2:$A$150, productos!$D$2:$D$150, "No Encontrado", 0)</f>
        <v>14.25</v>
      </c>
      <c r="I1670">
        <f t="shared" si="26"/>
        <v>28.5</v>
      </c>
    </row>
    <row r="1671" spans="1:9" x14ac:dyDescent="0.25">
      <c r="A1671">
        <v>2255</v>
      </c>
      <c r="B1671" s="1">
        <v>45484</v>
      </c>
      <c r="C1671">
        <v>180</v>
      </c>
      <c r="D1671">
        <v>35</v>
      </c>
      <c r="E1671">
        <v>5</v>
      </c>
      <c r="F1671">
        <v>1</v>
      </c>
      <c r="G1671" t="s">
        <v>1044</v>
      </c>
      <c r="H1671">
        <f>_xlfn.XLOOKUP(D1671, productos!$A$2:$A$150, productos!$D$2:$D$150, "No Encontrado", 0)</f>
        <v>4.25</v>
      </c>
      <c r="I1671">
        <f t="shared" si="26"/>
        <v>21.25</v>
      </c>
    </row>
    <row r="1672" spans="1:9" x14ac:dyDescent="0.25">
      <c r="A1672">
        <v>2290</v>
      </c>
      <c r="B1672" s="1">
        <v>45484</v>
      </c>
      <c r="C1672">
        <v>216</v>
      </c>
      <c r="D1672">
        <v>19</v>
      </c>
      <c r="E1672">
        <v>3</v>
      </c>
      <c r="F1672">
        <v>5</v>
      </c>
      <c r="G1672" t="s">
        <v>1045</v>
      </c>
      <c r="H1672">
        <f>_xlfn.XLOOKUP(D1672, productos!$A$2:$A$150, productos!$D$2:$D$150, "No Encontrado", 0)</f>
        <v>6.54</v>
      </c>
      <c r="I1672">
        <f t="shared" si="26"/>
        <v>19.62</v>
      </c>
    </row>
    <row r="1673" spans="1:9" x14ac:dyDescent="0.25">
      <c r="A1673">
        <v>2496</v>
      </c>
      <c r="B1673" s="1">
        <v>45484</v>
      </c>
      <c r="C1673">
        <v>262</v>
      </c>
      <c r="D1673">
        <v>5</v>
      </c>
      <c r="E1673">
        <v>3</v>
      </c>
      <c r="F1673">
        <v>4</v>
      </c>
      <c r="G1673" t="s">
        <v>1044</v>
      </c>
      <c r="H1673">
        <f>_xlfn.XLOOKUP(D1673, productos!$A$2:$A$150, productos!$D$2:$D$150, "No Encontrado", 0)</f>
        <v>5.65</v>
      </c>
      <c r="I1673">
        <f t="shared" si="26"/>
        <v>16.950000000000003</v>
      </c>
    </row>
    <row r="1674" spans="1:9" x14ac:dyDescent="0.25">
      <c r="A1674">
        <v>2930</v>
      </c>
      <c r="B1674" s="1">
        <v>45484</v>
      </c>
      <c r="C1674">
        <v>198</v>
      </c>
      <c r="D1674">
        <v>30</v>
      </c>
      <c r="E1674">
        <v>4</v>
      </c>
      <c r="F1674">
        <v>4</v>
      </c>
      <c r="G1674" t="s">
        <v>1044</v>
      </c>
      <c r="H1674">
        <f>_xlfn.XLOOKUP(D1674, productos!$A$2:$A$150, productos!$D$2:$D$150, "No Encontrado", 0)</f>
        <v>13.54</v>
      </c>
      <c r="I1674">
        <f t="shared" si="26"/>
        <v>54.16</v>
      </c>
    </row>
    <row r="1675" spans="1:9" x14ac:dyDescent="0.25">
      <c r="A1675">
        <v>2932</v>
      </c>
      <c r="B1675" s="1">
        <v>45484</v>
      </c>
      <c r="C1675">
        <v>313</v>
      </c>
      <c r="D1675">
        <v>23</v>
      </c>
      <c r="E1675">
        <v>1</v>
      </c>
      <c r="F1675">
        <v>5</v>
      </c>
      <c r="G1675" t="s">
        <v>1044</v>
      </c>
      <c r="H1675">
        <f>_xlfn.XLOOKUP(D1675, productos!$A$2:$A$150, productos!$D$2:$D$150, "No Encontrado", 0)</f>
        <v>8.23</v>
      </c>
      <c r="I1675">
        <f t="shared" si="26"/>
        <v>8.23</v>
      </c>
    </row>
    <row r="1676" spans="1:9" x14ac:dyDescent="0.25">
      <c r="A1676">
        <v>2963</v>
      </c>
      <c r="B1676" s="1">
        <v>45484</v>
      </c>
      <c r="C1676">
        <v>9</v>
      </c>
      <c r="D1676">
        <v>16</v>
      </c>
      <c r="E1676">
        <v>4</v>
      </c>
      <c r="F1676">
        <v>5</v>
      </c>
      <c r="G1676" t="s">
        <v>1044</v>
      </c>
      <c r="H1676">
        <f>_xlfn.XLOOKUP(D1676, productos!$A$2:$A$150, productos!$D$2:$D$150, "No Encontrado", 0)</f>
        <v>15.23</v>
      </c>
      <c r="I1676">
        <f t="shared" si="26"/>
        <v>60.92</v>
      </c>
    </row>
    <row r="1677" spans="1:9" x14ac:dyDescent="0.25">
      <c r="A1677">
        <v>560</v>
      </c>
      <c r="B1677" s="1">
        <v>45485</v>
      </c>
      <c r="C1677">
        <v>300</v>
      </c>
      <c r="D1677">
        <v>23</v>
      </c>
      <c r="E1677">
        <v>1</v>
      </c>
      <c r="F1677">
        <v>5</v>
      </c>
      <c r="G1677" t="s">
        <v>1044</v>
      </c>
      <c r="H1677">
        <f>_xlfn.XLOOKUP(D1677, productos!$A$2:$A$150, productos!$D$2:$D$150, "No Encontrado", 0)</f>
        <v>8.23</v>
      </c>
      <c r="I1677">
        <f t="shared" si="26"/>
        <v>8.23</v>
      </c>
    </row>
    <row r="1678" spans="1:9" x14ac:dyDescent="0.25">
      <c r="A1678">
        <v>646</v>
      </c>
      <c r="B1678" s="1">
        <v>45485</v>
      </c>
      <c r="C1678">
        <v>25</v>
      </c>
      <c r="D1678">
        <v>27</v>
      </c>
      <c r="E1678">
        <v>5</v>
      </c>
      <c r="F1678">
        <v>4</v>
      </c>
      <c r="G1678" t="s">
        <v>1044</v>
      </c>
      <c r="H1678">
        <f>_xlfn.XLOOKUP(D1678, productos!$A$2:$A$150, productos!$D$2:$D$150, "No Encontrado", 0)</f>
        <v>6.21</v>
      </c>
      <c r="I1678">
        <f t="shared" si="26"/>
        <v>31.05</v>
      </c>
    </row>
    <row r="1679" spans="1:9" x14ac:dyDescent="0.25">
      <c r="A1679">
        <v>1077</v>
      </c>
      <c r="B1679" s="1">
        <v>45485</v>
      </c>
      <c r="C1679">
        <v>268</v>
      </c>
      <c r="D1679">
        <v>34</v>
      </c>
      <c r="E1679">
        <v>4</v>
      </c>
      <c r="F1679">
        <v>4</v>
      </c>
      <c r="G1679" t="s">
        <v>1044</v>
      </c>
      <c r="H1679">
        <f>_xlfn.XLOOKUP(D1679, productos!$A$2:$A$150, productos!$D$2:$D$150, "No Encontrado", 0)</f>
        <v>5.45</v>
      </c>
      <c r="I1679">
        <f t="shared" si="26"/>
        <v>21.8</v>
      </c>
    </row>
    <row r="1680" spans="1:9" x14ac:dyDescent="0.25">
      <c r="A1680">
        <v>1262</v>
      </c>
      <c r="B1680" s="1">
        <v>45485</v>
      </c>
      <c r="C1680">
        <v>313</v>
      </c>
      <c r="D1680">
        <v>21</v>
      </c>
      <c r="E1680">
        <v>2</v>
      </c>
      <c r="F1680">
        <v>5</v>
      </c>
      <c r="G1680" t="s">
        <v>1045</v>
      </c>
      <c r="H1680">
        <f>_xlfn.XLOOKUP(D1680, productos!$A$2:$A$150, productos!$D$2:$D$150, "No Encontrado", 0)</f>
        <v>3.25</v>
      </c>
      <c r="I1680">
        <f t="shared" si="26"/>
        <v>6.5</v>
      </c>
    </row>
    <row r="1681" spans="1:9" x14ac:dyDescent="0.25">
      <c r="A1681">
        <v>1459</v>
      </c>
      <c r="B1681" s="1">
        <v>45485</v>
      </c>
      <c r="C1681">
        <v>176</v>
      </c>
      <c r="D1681">
        <v>37</v>
      </c>
      <c r="E1681">
        <v>5</v>
      </c>
      <c r="F1681">
        <v>2</v>
      </c>
      <c r="G1681" t="s">
        <v>1044</v>
      </c>
      <c r="H1681">
        <f>_xlfn.XLOOKUP(D1681, productos!$A$2:$A$150, productos!$D$2:$D$150, "No Encontrado", 0)</f>
        <v>3.65</v>
      </c>
      <c r="I1681">
        <f t="shared" si="26"/>
        <v>18.25</v>
      </c>
    </row>
    <row r="1682" spans="1:9" x14ac:dyDescent="0.25">
      <c r="A1682">
        <v>1476</v>
      </c>
      <c r="B1682" s="1">
        <v>45485</v>
      </c>
      <c r="C1682">
        <v>12</v>
      </c>
      <c r="D1682">
        <v>26</v>
      </c>
      <c r="E1682">
        <v>3</v>
      </c>
      <c r="F1682">
        <v>1</v>
      </c>
      <c r="G1682" t="s">
        <v>1044</v>
      </c>
      <c r="H1682">
        <f>_xlfn.XLOOKUP(D1682, productos!$A$2:$A$150, productos!$D$2:$D$150, "No Encontrado", 0)</f>
        <v>9.5399999999999991</v>
      </c>
      <c r="I1682">
        <f t="shared" si="26"/>
        <v>28.619999999999997</v>
      </c>
    </row>
    <row r="1683" spans="1:9" x14ac:dyDescent="0.25">
      <c r="A1683">
        <v>1676</v>
      </c>
      <c r="B1683" s="1">
        <v>45485</v>
      </c>
      <c r="C1683">
        <v>324</v>
      </c>
      <c r="D1683">
        <v>36</v>
      </c>
      <c r="E1683">
        <v>5</v>
      </c>
      <c r="F1683">
        <v>4</v>
      </c>
      <c r="G1683" t="s">
        <v>1044</v>
      </c>
      <c r="H1683">
        <f>_xlfn.XLOOKUP(D1683, productos!$A$2:$A$150, productos!$D$2:$D$150, "No Encontrado", 0)</f>
        <v>3.25</v>
      </c>
      <c r="I1683">
        <f t="shared" si="26"/>
        <v>16.25</v>
      </c>
    </row>
    <row r="1684" spans="1:9" x14ac:dyDescent="0.25">
      <c r="A1684">
        <v>1729</v>
      </c>
      <c r="B1684" s="1">
        <v>45485</v>
      </c>
      <c r="C1684">
        <v>118</v>
      </c>
      <c r="D1684">
        <v>33</v>
      </c>
      <c r="E1684">
        <v>6</v>
      </c>
      <c r="F1684">
        <v>4</v>
      </c>
      <c r="G1684" t="s">
        <v>1044</v>
      </c>
      <c r="H1684">
        <f>_xlfn.XLOOKUP(D1684, productos!$A$2:$A$150, productos!$D$2:$D$150, "No Encontrado", 0)</f>
        <v>8.5399999999999991</v>
      </c>
      <c r="I1684">
        <f t="shared" si="26"/>
        <v>51.239999999999995</v>
      </c>
    </row>
    <row r="1685" spans="1:9" x14ac:dyDescent="0.25">
      <c r="A1685">
        <v>1791</v>
      </c>
      <c r="B1685" s="1">
        <v>45485</v>
      </c>
      <c r="C1685">
        <v>250</v>
      </c>
      <c r="D1685">
        <v>16</v>
      </c>
      <c r="E1685">
        <v>4</v>
      </c>
      <c r="F1685">
        <v>4</v>
      </c>
      <c r="G1685" t="s">
        <v>1044</v>
      </c>
      <c r="H1685">
        <f>_xlfn.XLOOKUP(D1685, productos!$A$2:$A$150, productos!$D$2:$D$150, "No Encontrado", 0)</f>
        <v>15.23</v>
      </c>
      <c r="I1685">
        <f t="shared" si="26"/>
        <v>60.92</v>
      </c>
    </row>
    <row r="1686" spans="1:9" x14ac:dyDescent="0.25">
      <c r="A1686">
        <v>2768</v>
      </c>
      <c r="B1686" s="1">
        <v>45485</v>
      </c>
      <c r="C1686">
        <v>307</v>
      </c>
      <c r="D1686">
        <v>13</v>
      </c>
      <c r="E1686">
        <v>1</v>
      </c>
      <c r="F1686">
        <v>3</v>
      </c>
      <c r="G1686" t="s">
        <v>1044</v>
      </c>
      <c r="H1686">
        <f>_xlfn.XLOOKUP(D1686, productos!$A$2:$A$150, productos!$D$2:$D$150, "No Encontrado", 0)</f>
        <v>12.56</v>
      </c>
      <c r="I1686">
        <f t="shared" si="26"/>
        <v>12.56</v>
      </c>
    </row>
    <row r="1687" spans="1:9" x14ac:dyDescent="0.25">
      <c r="A1687">
        <v>776</v>
      </c>
      <c r="B1687" s="1">
        <v>45486</v>
      </c>
      <c r="C1687">
        <v>175</v>
      </c>
      <c r="D1687">
        <v>6</v>
      </c>
      <c r="E1687">
        <v>6</v>
      </c>
      <c r="F1687">
        <v>4</v>
      </c>
      <c r="G1687" t="s">
        <v>1044</v>
      </c>
      <c r="H1687">
        <f>_xlfn.XLOOKUP(D1687, productos!$A$2:$A$150, productos!$D$2:$D$150, "No Encontrado", 0)</f>
        <v>28.56</v>
      </c>
      <c r="I1687">
        <f t="shared" si="26"/>
        <v>171.35999999999999</v>
      </c>
    </row>
    <row r="1688" spans="1:9" x14ac:dyDescent="0.25">
      <c r="A1688">
        <v>1440</v>
      </c>
      <c r="B1688" s="1">
        <v>45486</v>
      </c>
      <c r="C1688">
        <v>278</v>
      </c>
      <c r="D1688">
        <v>16</v>
      </c>
      <c r="E1688">
        <v>1</v>
      </c>
      <c r="F1688">
        <v>1</v>
      </c>
      <c r="G1688" t="s">
        <v>1044</v>
      </c>
      <c r="H1688">
        <f>_xlfn.XLOOKUP(D1688, productos!$A$2:$A$150, productos!$D$2:$D$150, "No Encontrado", 0)</f>
        <v>15.23</v>
      </c>
      <c r="I1688">
        <f t="shared" si="26"/>
        <v>15.23</v>
      </c>
    </row>
    <row r="1689" spans="1:9" x14ac:dyDescent="0.25">
      <c r="A1689">
        <v>2052</v>
      </c>
      <c r="B1689" s="1">
        <v>45486</v>
      </c>
      <c r="C1689">
        <v>322</v>
      </c>
      <c r="D1689">
        <v>19</v>
      </c>
      <c r="E1689">
        <v>4</v>
      </c>
      <c r="F1689">
        <v>4</v>
      </c>
      <c r="G1689" t="s">
        <v>1044</v>
      </c>
      <c r="H1689">
        <f>_xlfn.XLOOKUP(D1689, productos!$A$2:$A$150, productos!$D$2:$D$150, "No Encontrado", 0)</f>
        <v>6.54</v>
      </c>
      <c r="I1689">
        <f t="shared" si="26"/>
        <v>26.16</v>
      </c>
    </row>
    <row r="1690" spans="1:9" x14ac:dyDescent="0.25">
      <c r="A1690">
        <v>2743</v>
      </c>
      <c r="B1690" s="1">
        <v>45486</v>
      </c>
      <c r="C1690">
        <v>251</v>
      </c>
      <c r="D1690">
        <v>5</v>
      </c>
      <c r="E1690">
        <v>5</v>
      </c>
      <c r="F1690">
        <v>4</v>
      </c>
      <c r="G1690" t="s">
        <v>1044</v>
      </c>
      <c r="H1690">
        <f>_xlfn.XLOOKUP(D1690, productos!$A$2:$A$150, productos!$D$2:$D$150, "No Encontrado", 0)</f>
        <v>5.65</v>
      </c>
      <c r="I1690">
        <f t="shared" si="26"/>
        <v>28.25</v>
      </c>
    </row>
    <row r="1691" spans="1:9" x14ac:dyDescent="0.25">
      <c r="A1691">
        <v>391</v>
      </c>
      <c r="B1691" s="1">
        <v>45487</v>
      </c>
      <c r="C1691">
        <v>34</v>
      </c>
      <c r="D1691">
        <v>16</v>
      </c>
      <c r="E1691">
        <v>3</v>
      </c>
      <c r="F1691">
        <v>5</v>
      </c>
      <c r="G1691" t="s">
        <v>1044</v>
      </c>
      <c r="H1691">
        <f>_xlfn.XLOOKUP(D1691, productos!$A$2:$A$150, productos!$D$2:$D$150, "No Encontrado", 0)</f>
        <v>15.23</v>
      </c>
      <c r="I1691">
        <f t="shared" si="26"/>
        <v>45.69</v>
      </c>
    </row>
    <row r="1692" spans="1:9" x14ac:dyDescent="0.25">
      <c r="A1692">
        <v>473</v>
      </c>
      <c r="B1692" s="1">
        <v>45487</v>
      </c>
      <c r="C1692">
        <v>229</v>
      </c>
      <c r="D1692">
        <v>29</v>
      </c>
      <c r="E1692">
        <v>4</v>
      </c>
      <c r="F1692">
        <v>4</v>
      </c>
      <c r="G1692" t="s">
        <v>1044</v>
      </c>
      <c r="H1692">
        <f>_xlfn.XLOOKUP(D1692, productos!$A$2:$A$150, productos!$D$2:$D$150, "No Encontrado", 0)</f>
        <v>11.54</v>
      </c>
      <c r="I1692">
        <f t="shared" si="26"/>
        <v>46.16</v>
      </c>
    </row>
    <row r="1693" spans="1:9" x14ac:dyDescent="0.25">
      <c r="A1693">
        <v>619</v>
      </c>
      <c r="B1693" s="1">
        <v>45487</v>
      </c>
      <c r="C1693">
        <v>121</v>
      </c>
      <c r="D1693">
        <v>35</v>
      </c>
      <c r="E1693">
        <v>2</v>
      </c>
      <c r="F1693">
        <v>4</v>
      </c>
      <c r="G1693" t="s">
        <v>1044</v>
      </c>
      <c r="H1693">
        <f>_xlfn.XLOOKUP(D1693, productos!$A$2:$A$150, productos!$D$2:$D$150, "No Encontrado", 0)</f>
        <v>4.25</v>
      </c>
      <c r="I1693">
        <f t="shared" si="26"/>
        <v>8.5</v>
      </c>
    </row>
    <row r="1694" spans="1:9" x14ac:dyDescent="0.25">
      <c r="A1694">
        <v>1397</v>
      </c>
      <c r="B1694" s="1">
        <v>45487</v>
      </c>
      <c r="C1694">
        <v>112</v>
      </c>
      <c r="D1694">
        <v>13</v>
      </c>
      <c r="E1694">
        <v>2</v>
      </c>
      <c r="F1694">
        <v>1</v>
      </c>
      <c r="G1694" t="s">
        <v>1044</v>
      </c>
      <c r="H1694">
        <f>_xlfn.XLOOKUP(D1694, productos!$A$2:$A$150, productos!$D$2:$D$150, "No Encontrado", 0)</f>
        <v>12.56</v>
      </c>
      <c r="I1694">
        <f t="shared" si="26"/>
        <v>25.12</v>
      </c>
    </row>
    <row r="1695" spans="1:9" x14ac:dyDescent="0.25">
      <c r="A1695">
        <v>1620</v>
      </c>
      <c r="B1695" s="1">
        <v>45487</v>
      </c>
      <c r="C1695">
        <v>267</v>
      </c>
      <c r="D1695">
        <v>32</v>
      </c>
      <c r="E1695">
        <v>2</v>
      </c>
      <c r="F1695">
        <v>4</v>
      </c>
      <c r="G1695" t="s">
        <v>1044</v>
      </c>
      <c r="H1695">
        <f>_xlfn.XLOOKUP(D1695, productos!$A$2:$A$150, productos!$D$2:$D$150, "No Encontrado", 0)</f>
        <v>6.25</v>
      </c>
      <c r="I1695">
        <f t="shared" si="26"/>
        <v>12.5</v>
      </c>
    </row>
    <row r="1696" spans="1:9" x14ac:dyDescent="0.25">
      <c r="A1696">
        <v>1778</v>
      </c>
      <c r="B1696" s="1">
        <v>45487</v>
      </c>
      <c r="C1696">
        <v>208</v>
      </c>
      <c r="D1696">
        <v>19</v>
      </c>
      <c r="E1696">
        <v>4</v>
      </c>
      <c r="F1696">
        <v>3</v>
      </c>
      <c r="G1696" t="s">
        <v>1044</v>
      </c>
      <c r="H1696">
        <f>_xlfn.XLOOKUP(D1696, productos!$A$2:$A$150, productos!$D$2:$D$150, "No Encontrado", 0)</f>
        <v>6.54</v>
      </c>
      <c r="I1696">
        <f t="shared" si="26"/>
        <v>26.16</v>
      </c>
    </row>
    <row r="1697" spans="1:9" x14ac:dyDescent="0.25">
      <c r="A1697">
        <v>2342</v>
      </c>
      <c r="B1697" s="1">
        <v>45487</v>
      </c>
      <c r="C1697">
        <v>180</v>
      </c>
      <c r="D1697">
        <v>22</v>
      </c>
      <c r="E1697">
        <v>6</v>
      </c>
      <c r="F1697">
        <v>4</v>
      </c>
      <c r="G1697" t="s">
        <v>1044</v>
      </c>
      <c r="H1697">
        <f>_xlfn.XLOOKUP(D1697, productos!$A$2:$A$150, productos!$D$2:$D$150, "No Encontrado", 0)</f>
        <v>4.21</v>
      </c>
      <c r="I1697">
        <f t="shared" si="26"/>
        <v>25.259999999999998</v>
      </c>
    </row>
    <row r="1698" spans="1:9" x14ac:dyDescent="0.25">
      <c r="A1698">
        <v>2886</v>
      </c>
      <c r="B1698" s="1">
        <v>45487</v>
      </c>
      <c r="C1698">
        <v>67</v>
      </c>
      <c r="D1698">
        <v>19</v>
      </c>
      <c r="E1698">
        <v>1</v>
      </c>
      <c r="F1698">
        <v>1</v>
      </c>
      <c r="G1698" t="s">
        <v>1044</v>
      </c>
      <c r="H1698">
        <f>_xlfn.XLOOKUP(D1698, productos!$A$2:$A$150, productos!$D$2:$D$150, "No Encontrado", 0)</f>
        <v>6.54</v>
      </c>
      <c r="I1698">
        <f t="shared" si="26"/>
        <v>6.54</v>
      </c>
    </row>
    <row r="1699" spans="1:9" x14ac:dyDescent="0.25">
      <c r="A1699">
        <v>548</v>
      </c>
      <c r="B1699" s="1">
        <v>45488</v>
      </c>
      <c r="C1699">
        <v>229</v>
      </c>
      <c r="D1699">
        <v>30</v>
      </c>
      <c r="E1699">
        <v>6</v>
      </c>
      <c r="F1699">
        <v>5</v>
      </c>
      <c r="G1699" t="s">
        <v>1045</v>
      </c>
      <c r="H1699">
        <f>_xlfn.XLOOKUP(D1699, productos!$A$2:$A$150, productos!$D$2:$D$150, "No Encontrado", 0)</f>
        <v>13.54</v>
      </c>
      <c r="I1699">
        <f t="shared" si="26"/>
        <v>81.239999999999995</v>
      </c>
    </row>
    <row r="1700" spans="1:9" x14ac:dyDescent="0.25">
      <c r="A1700">
        <v>2083</v>
      </c>
      <c r="B1700" s="1">
        <v>45488</v>
      </c>
      <c r="C1700">
        <v>44</v>
      </c>
      <c r="D1700">
        <v>6</v>
      </c>
      <c r="E1700">
        <v>2</v>
      </c>
      <c r="F1700">
        <v>4</v>
      </c>
      <c r="G1700" t="s">
        <v>1044</v>
      </c>
      <c r="H1700">
        <f>_xlfn.XLOOKUP(D1700, productos!$A$2:$A$150, productos!$D$2:$D$150, "No Encontrado", 0)</f>
        <v>28.56</v>
      </c>
      <c r="I1700">
        <f t="shared" si="26"/>
        <v>57.12</v>
      </c>
    </row>
    <row r="1701" spans="1:9" x14ac:dyDescent="0.25">
      <c r="A1701">
        <v>2577</v>
      </c>
      <c r="B1701" s="1">
        <v>45488</v>
      </c>
      <c r="C1701">
        <v>240</v>
      </c>
      <c r="D1701">
        <v>11</v>
      </c>
      <c r="E1701">
        <v>3</v>
      </c>
      <c r="F1701">
        <v>2</v>
      </c>
      <c r="G1701" t="s">
        <v>1044</v>
      </c>
      <c r="H1701">
        <f>_xlfn.XLOOKUP(D1701, productos!$A$2:$A$150, productos!$D$2:$D$150, "No Encontrado", 0)</f>
        <v>11.23</v>
      </c>
      <c r="I1701">
        <f t="shared" si="26"/>
        <v>33.69</v>
      </c>
    </row>
    <row r="1702" spans="1:9" x14ac:dyDescent="0.25">
      <c r="A1702">
        <v>648</v>
      </c>
      <c r="B1702" s="1">
        <v>45489</v>
      </c>
      <c r="C1702">
        <v>198</v>
      </c>
      <c r="D1702">
        <v>35</v>
      </c>
      <c r="E1702">
        <v>6</v>
      </c>
      <c r="F1702">
        <v>1</v>
      </c>
      <c r="G1702" t="s">
        <v>1045</v>
      </c>
      <c r="H1702">
        <f>_xlfn.XLOOKUP(D1702, productos!$A$2:$A$150, productos!$D$2:$D$150, "No Encontrado", 0)</f>
        <v>4.25</v>
      </c>
      <c r="I1702">
        <f t="shared" si="26"/>
        <v>25.5</v>
      </c>
    </row>
    <row r="1703" spans="1:9" x14ac:dyDescent="0.25">
      <c r="A1703">
        <v>893</v>
      </c>
      <c r="B1703" s="1">
        <v>45489</v>
      </c>
      <c r="C1703">
        <v>183</v>
      </c>
      <c r="D1703">
        <v>29</v>
      </c>
      <c r="E1703">
        <v>4</v>
      </c>
      <c r="F1703">
        <v>3</v>
      </c>
      <c r="G1703" t="s">
        <v>1044</v>
      </c>
      <c r="H1703">
        <f>_xlfn.XLOOKUP(D1703, productos!$A$2:$A$150, productos!$D$2:$D$150, "No Encontrado", 0)</f>
        <v>11.54</v>
      </c>
      <c r="I1703">
        <f t="shared" si="26"/>
        <v>46.16</v>
      </c>
    </row>
    <row r="1704" spans="1:9" x14ac:dyDescent="0.25">
      <c r="A1704">
        <v>1345</v>
      </c>
      <c r="B1704" s="1">
        <v>45489</v>
      </c>
      <c r="C1704">
        <v>149</v>
      </c>
      <c r="D1704">
        <v>27</v>
      </c>
      <c r="E1704">
        <v>1</v>
      </c>
      <c r="F1704">
        <v>4</v>
      </c>
      <c r="G1704" t="s">
        <v>1044</v>
      </c>
      <c r="H1704">
        <f>_xlfn.XLOOKUP(D1704, productos!$A$2:$A$150, productos!$D$2:$D$150, "No Encontrado", 0)</f>
        <v>6.21</v>
      </c>
      <c r="I1704">
        <f t="shared" si="26"/>
        <v>6.21</v>
      </c>
    </row>
    <row r="1705" spans="1:9" x14ac:dyDescent="0.25">
      <c r="A1705">
        <v>1400</v>
      </c>
      <c r="B1705" s="1">
        <v>45489</v>
      </c>
      <c r="C1705">
        <v>299</v>
      </c>
      <c r="D1705">
        <v>22</v>
      </c>
      <c r="E1705">
        <v>4</v>
      </c>
      <c r="F1705">
        <v>4</v>
      </c>
      <c r="G1705" t="s">
        <v>1044</v>
      </c>
      <c r="H1705">
        <f>_xlfn.XLOOKUP(D1705, productos!$A$2:$A$150, productos!$D$2:$D$150, "No Encontrado", 0)</f>
        <v>4.21</v>
      </c>
      <c r="I1705">
        <f t="shared" si="26"/>
        <v>16.84</v>
      </c>
    </row>
    <row r="1706" spans="1:9" x14ac:dyDescent="0.25">
      <c r="A1706">
        <v>1871</v>
      </c>
      <c r="B1706" s="1">
        <v>45489</v>
      </c>
      <c r="C1706">
        <v>184</v>
      </c>
      <c r="D1706">
        <v>20</v>
      </c>
      <c r="E1706">
        <v>1</v>
      </c>
      <c r="F1706">
        <v>5</v>
      </c>
      <c r="G1706" t="s">
        <v>1044</v>
      </c>
      <c r="H1706">
        <f>_xlfn.XLOOKUP(D1706, productos!$A$2:$A$150, productos!$D$2:$D$150, "No Encontrado", 0)</f>
        <v>4.25</v>
      </c>
      <c r="I1706">
        <f t="shared" si="26"/>
        <v>4.25</v>
      </c>
    </row>
    <row r="1707" spans="1:9" x14ac:dyDescent="0.25">
      <c r="A1707">
        <v>2158</v>
      </c>
      <c r="B1707" s="1">
        <v>45489</v>
      </c>
      <c r="C1707">
        <v>148</v>
      </c>
      <c r="D1707">
        <v>38</v>
      </c>
      <c r="E1707">
        <v>3</v>
      </c>
      <c r="F1707">
        <v>4</v>
      </c>
      <c r="G1707" t="s">
        <v>1045</v>
      </c>
      <c r="H1707">
        <f>_xlfn.XLOOKUP(D1707, productos!$A$2:$A$150, productos!$D$2:$D$150, "No Encontrado", 0)</f>
        <v>6.21</v>
      </c>
      <c r="I1707">
        <f t="shared" si="26"/>
        <v>18.63</v>
      </c>
    </row>
    <row r="1708" spans="1:9" x14ac:dyDescent="0.25">
      <c r="A1708">
        <v>412</v>
      </c>
      <c r="B1708" s="1">
        <v>45490</v>
      </c>
      <c r="C1708">
        <v>170</v>
      </c>
      <c r="D1708">
        <v>9</v>
      </c>
      <c r="E1708">
        <v>1</v>
      </c>
      <c r="F1708">
        <v>4</v>
      </c>
      <c r="G1708" t="s">
        <v>1044</v>
      </c>
      <c r="H1708">
        <f>_xlfn.XLOOKUP(D1708, productos!$A$2:$A$150, productos!$D$2:$D$150, "No Encontrado", 0)</f>
        <v>18.559999999999999</v>
      </c>
      <c r="I1708">
        <f t="shared" si="26"/>
        <v>18.559999999999999</v>
      </c>
    </row>
    <row r="1709" spans="1:9" x14ac:dyDescent="0.25">
      <c r="A1709">
        <v>768</v>
      </c>
      <c r="B1709" s="1">
        <v>45490</v>
      </c>
      <c r="C1709">
        <v>168</v>
      </c>
      <c r="D1709">
        <v>19</v>
      </c>
      <c r="E1709">
        <v>5</v>
      </c>
      <c r="F1709">
        <v>3</v>
      </c>
      <c r="G1709" t="s">
        <v>1044</v>
      </c>
      <c r="H1709">
        <f>_xlfn.XLOOKUP(D1709, productos!$A$2:$A$150, productos!$D$2:$D$150, "No Encontrado", 0)</f>
        <v>6.54</v>
      </c>
      <c r="I1709">
        <f t="shared" si="26"/>
        <v>32.700000000000003</v>
      </c>
    </row>
    <row r="1710" spans="1:9" x14ac:dyDescent="0.25">
      <c r="A1710">
        <v>974</v>
      </c>
      <c r="B1710" s="1">
        <v>45490</v>
      </c>
      <c r="C1710">
        <v>175</v>
      </c>
      <c r="D1710">
        <v>23</v>
      </c>
      <c r="E1710">
        <v>2</v>
      </c>
      <c r="F1710">
        <v>5</v>
      </c>
      <c r="G1710" t="s">
        <v>1044</v>
      </c>
      <c r="H1710">
        <f>_xlfn.XLOOKUP(D1710, productos!$A$2:$A$150, productos!$D$2:$D$150, "No Encontrado", 0)</f>
        <v>8.23</v>
      </c>
      <c r="I1710">
        <f t="shared" si="26"/>
        <v>16.46</v>
      </c>
    </row>
    <row r="1711" spans="1:9" x14ac:dyDescent="0.25">
      <c r="A1711">
        <v>1093</v>
      </c>
      <c r="B1711" s="1">
        <v>45490</v>
      </c>
      <c r="C1711">
        <v>52</v>
      </c>
      <c r="D1711">
        <v>36</v>
      </c>
      <c r="E1711">
        <v>3</v>
      </c>
      <c r="F1711">
        <v>1</v>
      </c>
      <c r="G1711" t="s">
        <v>1044</v>
      </c>
      <c r="H1711">
        <f>_xlfn.XLOOKUP(D1711, productos!$A$2:$A$150, productos!$D$2:$D$150, "No Encontrado", 0)</f>
        <v>3.25</v>
      </c>
      <c r="I1711">
        <f t="shared" si="26"/>
        <v>9.75</v>
      </c>
    </row>
    <row r="1712" spans="1:9" x14ac:dyDescent="0.25">
      <c r="A1712">
        <v>1335</v>
      </c>
      <c r="B1712" s="1">
        <v>45490</v>
      </c>
      <c r="C1712">
        <v>33</v>
      </c>
      <c r="D1712">
        <v>28</v>
      </c>
      <c r="E1712">
        <v>4</v>
      </c>
      <c r="F1712">
        <v>4</v>
      </c>
      <c r="G1712" t="s">
        <v>1044</v>
      </c>
      <c r="H1712">
        <f>_xlfn.XLOOKUP(D1712, productos!$A$2:$A$150, productos!$D$2:$D$150, "No Encontrado", 0)</f>
        <v>9.4499999999999993</v>
      </c>
      <c r="I1712">
        <f t="shared" si="26"/>
        <v>37.799999999999997</v>
      </c>
    </row>
    <row r="1713" spans="1:9" x14ac:dyDescent="0.25">
      <c r="A1713">
        <v>1664</v>
      </c>
      <c r="B1713" s="1">
        <v>45490</v>
      </c>
      <c r="C1713">
        <v>17</v>
      </c>
      <c r="D1713">
        <v>11</v>
      </c>
      <c r="E1713">
        <v>2</v>
      </c>
      <c r="F1713">
        <v>4</v>
      </c>
      <c r="G1713" t="s">
        <v>1045</v>
      </c>
      <c r="H1713">
        <f>_xlfn.XLOOKUP(D1713, productos!$A$2:$A$150, productos!$D$2:$D$150, "No Encontrado", 0)</f>
        <v>11.23</v>
      </c>
      <c r="I1713">
        <f t="shared" si="26"/>
        <v>22.46</v>
      </c>
    </row>
    <row r="1714" spans="1:9" x14ac:dyDescent="0.25">
      <c r="A1714">
        <v>1898</v>
      </c>
      <c r="B1714" s="1">
        <v>45490</v>
      </c>
      <c r="C1714">
        <v>261</v>
      </c>
      <c r="D1714">
        <v>20</v>
      </c>
      <c r="E1714">
        <v>4</v>
      </c>
      <c r="F1714">
        <v>4</v>
      </c>
      <c r="G1714" t="s">
        <v>1044</v>
      </c>
      <c r="H1714">
        <f>_xlfn.XLOOKUP(D1714, productos!$A$2:$A$150, productos!$D$2:$D$150, "No Encontrado", 0)</f>
        <v>4.25</v>
      </c>
      <c r="I1714">
        <f t="shared" si="26"/>
        <v>17</v>
      </c>
    </row>
    <row r="1715" spans="1:9" x14ac:dyDescent="0.25">
      <c r="A1715">
        <v>2061</v>
      </c>
      <c r="B1715" s="1">
        <v>45490</v>
      </c>
      <c r="C1715">
        <v>318</v>
      </c>
      <c r="D1715">
        <v>30</v>
      </c>
      <c r="E1715">
        <v>2</v>
      </c>
      <c r="F1715">
        <v>4</v>
      </c>
      <c r="G1715" t="s">
        <v>1044</v>
      </c>
      <c r="H1715">
        <f>_xlfn.XLOOKUP(D1715, productos!$A$2:$A$150, productos!$D$2:$D$150, "No Encontrado", 0)</f>
        <v>13.54</v>
      </c>
      <c r="I1715">
        <f t="shared" si="26"/>
        <v>27.08</v>
      </c>
    </row>
    <row r="1716" spans="1:9" x14ac:dyDescent="0.25">
      <c r="A1716">
        <v>2133</v>
      </c>
      <c r="B1716" s="1">
        <v>45490</v>
      </c>
      <c r="C1716">
        <v>92</v>
      </c>
      <c r="D1716">
        <v>13</v>
      </c>
      <c r="E1716">
        <v>6</v>
      </c>
      <c r="F1716">
        <v>3</v>
      </c>
      <c r="G1716" t="s">
        <v>1044</v>
      </c>
      <c r="H1716">
        <f>_xlfn.XLOOKUP(D1716, productos!$A$2:$A$150, productos!$D$2:$D$150, "No Encontrado", 0)</f>
        <v>12.56</v>
      </c>
      <c r="I1716">
        <f t="shared" si="26"/>
        <v>75.36</v>
      </c>
    </row>
    <row r="1717" spans="1:9" x14ac:dyDescent="0.25">
      <c r="A1717">
        <v>2139</v>
      </c>
      <c r="B1717" s="1">
        <v>45490</v>
      </c>
      <c r="C1717">
        <v>234</v>
      </c>
      <c r="D1717">
        <v>18</v>
      </c>
      <c r="E1717">
        <v>6</v>
      </c>
      <c r="F1717">
        <v>4</v>
      </c>
      <c r="G1717" t="s">
        <v>1044</v>
      </c>
      <c r="H1717">
        <f>_xlfn.XLOOKUP(D1717, productos!$A$2:$A$150, productos!$D$2:$D$150, "No Encontrado", 0)</f>
        <v>7.25</v>
      </c>
      <c r="I1717">
        <f t="shared" si="26"/>
        <v>43.5</v>
      </c>
    </row>
    <row r="1718" spans="1:9" x14ac:dyDescent="0.25">
      <c r="A1718">
        <v>2321</v>
      </c>
      <c r="B1718" s="1">
        <v>45490</v>
      </c>
      <c r="C1718">
        <v>34</v>
      </c>
      <c r="D1718">
        <v>20</v>
      </c>
      <c r="E1718">
        <v>6</v>
      </c>
      <c r="F1718">
        <v>4</v>
      </c>
      <c r="G1718" t="s">
        <v>1044</v>
      </c>
      <c r="H1718">
        <f>_xlfn.XLOOKUP(D1718, productos!$A$2:$A$150, productos!$D$2:$D$150, "No Encontrado", 0)</f>
        <v>4.25</v>
      </c>
      <c r="I1718">
        <f t="shared" si="26"/>
        <v>25.5</v>
      </c>
    </row>
    <row r="1719" spans="1:9" x14ac:dyDescent="0.25">
      <c r="A1719">
        <v>489</v>
      </c>
      <c r="B1719" s="1">
        <v>45491</v>
      </c>
      <c r="C1719">
        <v>152</v>
      </c>
      <c r="D1719">
        <v>27</v>
      </c>
      <c r="E1719">
        <v>6</v>
      </c>
      <c r="F1719">
        <v>5</v>
      </c>
      <c r="G1719" t="s">
        <v>1044</v>
      </c>
      <c r="H1719">
        <f>_xlfn.XLOOKUP(D1719, productos!$A$2:$A$150, productos!$D$2:$D$150, "No Encontrado", 0)</f>
        <v>6.21</v>
      </c>
      <c r="I1719">
        <f t="shared" si="26"/>
        <v>37.26</v>
      </c>
    </row>
    <row r="1720" spans="1:9" x14ac:dyDescent="0.25">
      <c r="A1720">
        <v>519</v>
      </c>
      <c r="B1720" s="1">
        <v>45491</v>
      </c>
      <c r="C1720">
        <v>174</v>
      </c>
      <c r="D1720">
        <v>38</v>
      </c>
      <c r="E1720">
        <v>3</v>
      </c>
      <c r="F1720">
        <v>1</v>
      </c>
      <c r="G1720" t="s">
        <v>1044</v>
      </c>
      <c r="H1720">
        <f>_xlfn.XLOOKUP(D1720, productos!$A$2:$A$150, productos!$D$2:$D$150, "No Encontrado", 0)</f>
        <v>6.21</v>
      </c>
      <c r="I1720">
        <f t="shared" si="26"/>
        <v>18.63</v>
      </c>
    </row>
    <row r="1721" spans="1:9" x14ac:dyDescent="0.25">
      <c r="A1721">
        <v>549</v>
      </c>
      <c r="B1721" s="1">
        <v>45491</v>
      </c>
      <c r="C1721">
        <v>211</v>
      </c>
      <c r="D1721">
        <v>4</v>
      </c>
      <c r="E1721">
        <v>3</v>
      </c>
      <c r="F1721">
        <v>5</v>
      </c>
      <c r="G1721" t="s">
        <v>1045</v>
      </c>
      <c r="H1721">
        <f>_xlfn.XLOOKUP(D1721, productos!$A$2:$A$150, productos!$D$2:$D$150, "No Encontrado", 0)</f>
        <v>19.23</v>
      </c>
      <c r="I1721">
        <f t="shared" si="26"/>
        <v>57.69</v>
      </c>
    </row>
    <row r="1722" spans="1:9" x14ac:dyDescent="0.25">
      <c r="A1722">
        <v>1216</v>
      </c>
      <c r="B1722" s="1">
        <v>45491</v>
      </c>
      <c r="C1722">
        <v>123</v>
      </c>
      <c r="D1722">
        <v>23</v>
      </c>
      <c r="E1722">
        <v>6</v>
      </c>
      <c r="F1722">
        <v>3</v>
      </c>
      <c r="G1722" t="s">
        <v>1044</v>
      </c>
      <c r="H1722">
        <f>_xlfn.XLOOKUP(D1722, productos!$A$2:$A$150, productos!$D$2:$D$150, "No Encontrado", 0)</f>
        <v>8.23</v>
      </c>
      <c r="I1722">
        <f t="shared" si="26"/>
        <v>49.38</v>
      </c>
    </row>
    <row r="1723" spans="1:9" x14ac:dyDescent="0.25">
      <c r="A1723">
        <v>1305</v>
      </c>
      <c r="B1723" s="1">
        <v>45491</v>
      </c>
      <c r="C1723">
        <v>134</v>
      </c>
      <c r="D1723">
        <v>38</v>
      </c>
      <c r="E1723">
        <v>1</v>
      </c>
      <c r="F1723">
        <v>3</v>
      </c>
      <c r="G1723" t="s">
        <v>1044</v>
      </c>
      <c r="H1723">
        <f>_xlfn.XLOOKUP(D1723, productos!$A$2:$A$150, productos!$D$2:$D$150, "No Encontrado", 0)</f>
        <v>6.21</v>
      </c>
      <c r="I1723">
        <f t="shared" si="26"/>
        <v>6.21</v>
      </c>
    </row>
    <row r="1724" spans="1:9" x14ac:dyDescent="0.25">
      <c r="A1724">
        <v>1493</v>
      </c>
      <c r="B1724" s="1">
        <v>45491</v>
      </c>
      <c r="C1724">
        <v>291</v>
      </c>
      <c r="D1724">
        <v>15</v>
      </c>
      <c r="E1724">
        <v>4</v>
      </c>
      <c r="F1724">
        <v>5</v>
      </c>
      <c r="G1724" t="s">
        <v>1044</v>
      </c>
      <c r="H1724">
        <f>_xlfn.XLOOKUP(D1724, productos!$A$2:$A$150, productos!$D$2:$D$150, "No Encontrado", 0)</f>
        <v>3.51</v>
      </c>
      <c r="I1724">
        <f t="shared" si="26"/>
        <v>14.04</v>
      </c>
    </row>
    <row r="1725" spans="1:9" x14ac:dyDescent="0.25">
      <c r="A1725">
        <v>2412</v>
      </c>
      <c r="B1725" s="1">
        <v>45491</v>
      </c>
      <c r="C1725">
        <v>5</v>
      </c>
      <c r="D1725">
        <v>36</v>
      </c>
      <c r="E1725">
        <v>3</v>
      </c>
      <c r="F1725">
        <v>1</v>
      </c>
      <c r="G1725" t="s">
        <v>1044</v>
      </c>
      <c r="H1725">
        <f>_xlfn.XLOOKUP(D1725, productos!$A$2:$A$150, productos!$D$2:$D$150, "No Encontrado", 0)</f>
        <v>3.25</v>
      </c>
      <c r="I1725">
        <f t="shared" si="26"/>
        <v>9.75</v>
      </c>
    </row>
    <row r="1726" spans="1:9" x14ac:dyDescent="0.25">
      <c r="A1726">
        <v>2902</v>
      </c>
      <c r="B1726" s="1">
        <v>45491</v>
      </c>
      <c r="C1726">
        <v>325</v>
      </c>
      <c r="D1726">
        <v>32</v>
      </c>
      <c r="E1726">
        <v>3</v>
      </c>
      <c r="F1726">
        <v>5</v>
      </c>
      <c r="G1726" t="s">
        <v>1044</v>
      </c>
      <c r="H1726">
        <f>_xlfn.XLOOKUP(D1726, productos!$A$2:$A$150, productos!$D$2:$D$150, "No Encontrado", 0)</f>
        <v>6.25</v>
      </c>
      <c r="I1726">
        <f t="shared" si="26"/>
        <v>18.75</v>
      </c>
    </row>
    <row r="1727" spans="1:9" x14ac:dyDescent="0.25">
      <c r="A1727">
        <v>335</v>
      </c>
      <c r="B1727" s="1">
        <v>45492</v>
      </c>
      <c r="C1727">
        <v>277</v>
      </c>
      <c r="D1727">
        <v>11</v>
      </c>
      <c r="E1727">
        <v>2</v>
      </c>
      <c r="F1727">
        <v>4</v>
      </c>
      <c r="G1727" t="s">
        <v>1045</v>
      </c>
      <c r="H1727">
        <f>_xlfn.XLOOKUP(D1727, productos!$A$2:$A$150, productos!$D$2:$D$150, "No Encontrado", 0)</f>
        <v>11.23</v>
      </c>
      <c r="I1727">
        <f t="shared" si="26"/>
        <v>22.46</v>
      </c>
    </row>
    <row r="1728" spans="1:9" x14ac:dyDescent="0.25">
      <c r="A1728">
        <v>977</v>
      </c>
      <c r="B1728" s="1">
        <v>45492</v>
      </c>
      <c r="C1728">
        <v>25</v>
      </c>
      <c r="D1728">
        <v>12</v>
      </c>
      <c r="E1728">
        <v>1</v>
      </c>
      <c r="F1728">
        <v>1</v>
      </c>
      <c r="G1728" t="s">
        <v>1044</v>
      </c>
      <c r="H1728">
        <f>_xlfn.XLOOKUP(D1728, productos!$A$2:$A$150, productos!$D$2:$D$150, "No Encontrado", 0)</f>
        <v>8.1199999999999992</v>
      </c>
      <c r="I1728">
        <f t="shared" si="26"/>
        <v>8.1199999999999992</v>
      </c>
    </row>
    <row r="1729" spans="1:9" x14ac:dyDescent="0.25">
      <c r="A1729">
        <v>1395</v>
      </c>
      <c r="B1729" s="1">
        <v>45492</v>
      </c>
      <c r="C1729">
        <v>265</v>
      </c>
      <c r="D1729">
        <v>3</v>
      </c>
      <c r="E1729">
        <v>4</v>
      </c>
      <c r="F1729">
        <v>4</v>
      </c>
      <c r="G1729" t="s">
        <v>1045</v>
      </c>
      <c r="H1729">
        <f>_xlfn.XLOOKUP(D1729, productos!$A$2:$A$150, productos!$D$2:$D$150, "No Encontrado", 0)</f>
        <v>17.23</v>
      </c>
      <c r="I1729">
        <f t="shared" si="26"/>
        <v>68.92</v>
      </c>
    </row>
    <row r="1730" spans="1:9" x14ac:dyDescent="0.25">
      <c r="A1730">
        <v>1546</v>
      </c>
      <c r="B1730" s="1">
        <v>45492</v>
      </c>
      <c r="C1730">
        <v>283</v>
      </c>
      <c r="D1730">
        <v>10</v>
      </c>
      <c r="E1730">
        <v>1</v>
      </c>
      <c r="F1730">
        <v>3</v>
      </c>
      <c r="G1730" t="s">
        <v>1044</v>
      </c>
      <c r="H1730">
        <f>_xlfn.XLOOKUP(D1730, productos!$A$2:$A$150, productos!$D$2:$D$150, "No Encontrado", 0)</f>
        <v>14.25</v>
      </c>
      <c r="I1730">
        <f t="shared" si="26"/>
        <v>14.25</v>
      </c>
    </row>
    <row r="1731" spans="1:9" x14ac:dyDescent="0.25">
      <c r="A1731">
        <v>2474</v>
      </c>
      <c r="B1731" s="1">
        <v>45492</v>
      </c>
      <c r="C1731">
        <v>188</v>
      </c>
      <c r="D1731">
        <v>19</v>
      </c>
      <c r="E1731">
        <v>3</v>
      </c>
      <c r="F1731">
        <v>4</v>
      </c>
      <c r="G1731" t="s">
        <v>1045</v>
      </c>
      <c r="H1731">
        <f>_xlfn.XLOOKUP(D1731, productos!$A$2:$A$150, productos!$D$2:$D$150, "No Encontrado", 0)</f>
        <v>6.54</v>
      </c>
      <c r="I1731">
        <f t="shared" ref="I1731:I1794" si="27">E1731*H1731</f>
        <v>19.62</v>
      </c>
    </row>
    <row r="1732" spans="1:9" x14ac:dyDescent="0.25">
      <c r="A1732">
        <v>2557</v>
      </c>
      <c r="B1732" s="1">
        <v>45492</v>
      </c>
      <c r="C1732">
        <v>156</v>
      </c>
      <c r="D1732">
        <v>7</v>
      </c>
      <c r="E1732">
        <v>1</v>
      </c>
      <c r="F1732">
        <v>1</v>
      </c>
      <c r="G1732" t="s">
        <v>1044</v>
      </c>
      <c r="H1732">
        <f>_xlfn.XLOOKUP(D1732, productos!$A$2:$A$150, productos!$D$2:$D$150, "No Encontrado", 0)</f>
        <v>11.25</v>
      </c>
      <c r="I1732">
        <f t="shared" si="27"/>
        <v>11.25</v>
      </c>
    </row>
    <row r="1733" spans="1:9" x14ac:dyDescent="0.25">
      <c r="A1733">
        <v>2652</v>
      </c>
      <c r="B1733" s="1">
        <v>45492</v>
      </c>
      <c r="C1733">
        <v>247</v>
      </c>
      <c r="D1733">
        <v>23</v>
      </c>
      <c r="E1733">
        <v>1</v>
      </c>
      <c r="F1733">
        <v>1</v>
      </c>
      <c r="G1733" t="s">
        <v>1044</v>
      </c>
      <c r="H1733">
        <f>_xlfn.XLOOKUP(D1733, productos!$A$2:$A$150, productos!$D$2:$D$150, "No Encontrado", 0)</f>
        <v>8.23</v>
      </c>
      <c r="I1733">
        <f t="shared" si="27"/>
        <v>8.23</v>
      </c>
    </row>
    <row r="1734" spans="1:9" x14ac:dyDescent="0.25">
      <c r="A1734">
        <v>2800</v>
      </c>
      <c r="B1734" s="1">
        <v>45492</v>
      </c>
      <c r="C1734">
        <v>226</v>
      </c>
      <c r="D1734">
        <v>8</v>
      </c>
      <c r="E1734">
        <v>4</v>
      </c>
      <c r="F1734">
        <v>2</v>
      </c>
      <c r="G1734" t="s">
        <v>1044</v>
      </c>
      <c r="H1734">
        <f>_xlfn.XLOOKUP(D1734, productos!$A$2:$A$150, productos!$D$2:$D$150, "No Encontrado", 0)</f>
        <v>16.21</v>
      </c>
      <c r="I1734">
        <f t="shared" si="27"/>
        <v>64.84</v>
      </c>
    </row>
    <row r="1735" spans="1:9" x14ac:dyDescent="0.25">
      <c r="A1735">
        <v>2811</v>
      </c>
      <c r="B1735" s="1">
        <v>45492</v>
      </c>
      <c r="C1735">
        <v>253</v>
      </c>
      <c r="D1735">
        <v>26</v>
      </c>
      <c r="E1735">
        <v>6</v>
      </c>
      <c r="F1735">
        <v>5</v>
      </c>
      <c r="G1735" t="s">
        <v>1044</v>
      </c>
      <c r="H1735">
        <f>_xlfn.XLOOKUP(D1735, productos!$A$2:$A$150, productos!$D$2:$D$150, "No Encontrado", 0)</f>
        <v>9.5399999999999991</v>
      </c>
      <c r="I1735">
        <f t="shared" si="27"/>
        <v>57.239999999999995</v>
      </c>
    </row>
    <row r="1736" spans="1:9" x14ac:dyDescent="0.25">
      <c r="A1736">
        <v>2830</v>
      </c>
      <c r="B1736" s="1">
        <v>45492</v>
      </c>
      <c r="C1736">
        <v>11</v>
      </c>
      <c r="D1736">
        <v>27</v>
      </c>
      <c r="E1736">
        <v>1</v>
      </c>
      <c r="F1736">
        <v>5</v>
      </c>
      <c r="G1736" t="s">
        <v>1044</v>
      </c>
      <c r="H1736">
        <f>_xlfn.XLOOKUP(D1736, productos!$A$2:$A$150, productos!$D$2:$D$150, "No Encontrado", 0)</f>
        <v>6.21</v>
      </c>
      <c r="I1736">
        <f t="shared" si="27"/>
        <v>6.21</v>
      </c>
    </row>
    <row r="1737" spans="1:9" x14ac:dyDescent="0.25">
      <c r="A1737">
        <v>2966</v>
      </c>
      <c r="B1737" s="1">
        <v>45492</v>
      </c>
      <c r="C1737">
        <v>203</v>
      </c>
      <c r="D1737">
        <v>37</v>
      </c>
      <c r="E1737">
        <v>4</v>
      </c>
      <c r="F1737">
        <v>4</v>
      </c>
      <c r="G1737" t="s">
        <v>1044</v>
      </c>
      <c r="H1737">
        <f>_xlfn.XLOOKUP(D1737, productos!$A$2:$A$150, productos!$D$2:$D$150, "No Encontrado", 0)</f>
        <v>3.65</v>
      </c>
      <c r="I1737">
        <f t="shared" si="27"/>
        <v>14.6</v>
      </c>
    </row>
    <row r="1738" spans="1:9" x14ac:dyDescent="0.25">
      <c r="A1738">
        <v>2977</v>
      </c>
      <c r="B1738" s="1">
        <v>45492</v>
      </c>
      <c r="C1738">
        <v>288</v>
      </c>
      <c r="D1738">
        <v>21</v>
      </c>
      <c r="E1738">
        <v>2</v>
      </c>
      <c r="F1738">
        <v>2</v>
      </c>
      <c r="G1738" t="s">
        <v>1044</v>
      </c>
      <c r="H1738">
        <f>_xlfn.XLOOKUP(D1738, productos!$A$2:$A$150, productos!$D$2:$D$150, "No Encontrado", 0)</f>
        <v>3.25</v>
      </c>
      <c r="I1738">
        <f t="shared" si="27"/>
        <v>6.5</v>
      </c>
    </row>
    <row r="1739" spans="1:9" x14ac:dyDescent="0.25">
      <c r="A1739">
        <v>500</v>
      </c>
      <c r="B1739" s="1">
        <v>45493</v>
      </c>
      <c r="C1739">
        <v>175</v>
      </c>
      <c r="D1739">
        <v>35</v>
      </c>
      <c r="E1739">
        <v>3</v>
      </c>
      <c r="F1739">
        <v>5</v>
      </c>
      <c r="G1739" t="s">
        <v>1045</v>
      </c>
      <c r="H1739">
        <f>_xlfn.XLOOKUP(D1739, productos!$A$2:$A$150, productos!$D$2:$D$150, "No Encontrado", 0)</f>
        <v>4.25</v>
      </c>
      <c r="I1739">
        <f t="shared" si="27"/>
        <v>12.75</v>
      </c>
    </row>
    <row r="1740" spans="1:9" x14ac:dyDescent="0.25">
      <c r="A1740">
        <v>514</v>
      </c>
      <c r="B1740" s="1">
        <v>45493</v>
      </c>
      <c r="C1740">
        <v>298</v>
      </c>
      <c r="D1740">
        <v>38</v>
      </c>
      <c r="E1740">
        <v>5</v>
      </c>
      <c r="F1740">
        <v>5</v>
      </c>
      <c r="G1740" t="s">
        <v>1044</v>
      </c>
      <c r="H1740">
        <f>_xlfn.XLOOKUP(D1740, productos!$A$2:$A$150, productos!$D$2:$D$150, "No Encontrado", 0)</f>
        <v>6.21</v>
      </c>
      <c r="I1740">
        <f t="shared" si="27"/>
        <v>31.05</v>
      </c>
    </row>
    <row r="1741" spans="1:9" x14ac:dyDescent="0.25">
      <c r="A1741">
        <v>707</v>
      </c>
      <c r="B1741" s="1">
        <v>45493</v>
      </c>
      <c r="C1741">
        <v>216</v>
      </c>
      <c r="D1741">
        <v>8</v>
      </c>
      <c r="E1741">
        <v>4</v>
      </c>
      <c r="F1741">
        <v>3</v>
      </c>
      <c r="G1741" t="s">
        <v>1044</v>
      </c>
      <c r="H1741">
        <f>_xlfn.XLOOKUP(D1741, productos!$A$2:$A$150, productos!$D$2:$D$150, "No Encontrado", 0)</f>
        <v>16.21</v>
      </c>
      <c r="I1741">
        <f t="shared" si="27"/>
        <v>64.84</v>
      </c>
    </row>
    <row r="1742" spans="1:9" x14ac:dyDescent="0.25">
      <c r="A1742">
        <v>777</v>
      </c>
      <c r="B1742" s="1">
        <v>45493</v>
      </c>
      <c r="C1742">
        <v>235</v>
      </c>
      <c r="D1742">
        <v>9</v>
      </c>
      <c r="E1742">
        <v>1</v>
      </c>
      <c r="F1742">
        <v>5</v>
      </c>
      <c r="G1742" t="s">
        <v>1044</v>
      </c>
      <c r="H1742">
        <f>_xlfn.XLOOKUP(D1742, productos!$A$2:$A$150, productos!$D$2:$D$150, "No Encontrado", 0)</f>
        <v>18.559999999999999</v>
      </c>
      <c r="I1742">
        <f t="shared" si="27"/>
        <v>18.559999999999999</v>
      </c>
    </row>
    <row r="1743" spans="1:9" x14ac:dyDescent="0.25">
      <c r="A1743">
        <v>803</v>
      </c>
      <c r="B1743" s="1">
        <v>45493</v>
      </c>
      <c r="C1743">
        <v>227</v>
      </c>
      <c r="D1743">
        <v>2</v>
      </c>
      <c r="E1743">
        <v>4</v>
      </c>
      <c r="F1743">
        <v>4</v>
      </c>
      <c r="G1743" t="s">
        <v>1045</v>
      </c>
      <c r="H1743">
        <f>_xlfn.XLOOKUP(D1743, productos!$A$2:$A$150, productos!$D$2:$D$150, "No Encontrado", 0)</f>
        <v>5.21</v>
      </c>
      <c r="I1743">
        <f t="shared" si="27"/>
        <v>20.84</v>
      </c>
    </row>
    <row r="1744" spans="1:9" x14ac:dyDescent="0.25">
      <c r="A1744">
        <v>1461</v>
      </c>
      <c r="B1744" s="1">
        <v>45493</v>
      </c>
      <c r="C1744">
        <v>87</v>
      </c>
      <c r="D1744">
        <v>5</v>
      </c>
      <c r="E1744">
        <v>4</v>
      </c>
      <c r="F1744">
        <v>1</v>
      </c>
      <c r="G1744" t="s">
        <v>1044</v>
      </c>
      <c r="H1744">
        <f>_xlfn.XLOOKUP(D1744, productos!$A$2:$A$150, productos!$D$2:$D$150, "No Encontrado", 0)</f>
        <v>5.65</v>
      </c>
      <c r="I1744">
        <f t="shared" si="27"/>
        <v>22.6</v>
      </c>
    </row>
    <row r="1745" spans="1:9" x14ac:dyDescent="0.25">
      <c r="A1745">
        <v>1547</v>
      </c>
      <c r="B1745" s="1">
        <v>45493</v>
      </c>
      <c r="C1745">
        <v>122</v>
      </c>
      <c r="D1745">
        <v>21</v>
      </c>
      <c r="E1745">
        <v>2</v>
      </c>
      <c r="F1745">
        <v>2</v>
      </c>
      <c r="G1745" t="s">
        <v>1044</v>
      </c>
      <c r="H1745">
        <f>_xlfn.XLOOKUP(D1745, productos!$A$2:$A$150, productos!$D$2:$D$150, "No Encontrado", 0)</f>
        <v>3.25</v>
      </c>
      <c r="I1745">
        <f t="shared" si="27"/>
        <v>6.5</v>
      </c>
    </row>
    <row r="1746" spans="1:9" x14ac:dyDescent="0.25">
      <c r="A1746">
        <v>2676</v>
      </c>
      <c r="B1746" s="1">
        <v>45493</v>
      </c>
      <c r="C1746">
        <v>83</v>
      </c>
      <c r="D1746">
        <v>25</v>
      </c>
      <c r="E1746">
        <v>2</v>
      </c>
      <c r="F1746">
        <v>4</v>
      </c>
      <c r="G1746" t="s">
        <v>1044</v>
      </c>
      <c r="H1746">
        <f>_xlfn.XLOOKUP(D1746, productos!$A$2:$A$150, productos!$D$2:$D$150, "No Encontrado", 0)</f>
        <v>15.45</v>
      </c>
      <c r="I1746">
        <f t="shared" si="27"/>
        <v>30.9</v>
      </c>
    </row>
    <row r="1747" spans="1:9" x14ac:dyDescent="0.25">
      <c r="A1747">
        <v>367</v>
      </c>
      <c r="B1747" s="1">
        <v>45494</v>
      </c>
      <c r="C1747">
        <v>163</v>
      </c>
      <c r="D1747">
        <v>6</v>
      </c>
      <c r="E1747">
        <v>3</v>
      </c>
      <c r="F1747">
        <v>4</v>
      </c>
      <c r="G1747" t="s">
        <v>1044</v>
      </c>
      <c r="H1747">
        <f>_xlfn.XLOOKUP(D1747, productos!$A$2:$A$150, productos!$D$2:$D$150, "No Encontrado", 0)</f>
        <v>28.56</v>
      </c>
      <c r="I1747">
        <f t="shared" si="27"/>
        <v>85.679999999999993</v>
      </c>
    </row>
    <row r="1748" spans="1:9" x14ac:dyDescent="0.25">
      <c r="A1748">
        <v>666</v>
      </c>
      <c r="B1748" s="1">
        <v>45494</v>
      </c>
      <c r="C1748">
        <v>20</v>
      </c>
      <c r="D1748">
        <v>10</v>
      </c>
      <c r="E1748">
        <v>3</v>
      </c>
      <c r="F1748">
        <v>3</v>
      </c>
      <c r="G1748" t="s">
        <v>1044</v>
      </c>
      <c r="H1748">
        <f>_xlfn.XLOOKUP(D1748, productos!$A$2:$A$150, productos!$D$2:$D$150, "No Encontrado", 0)</f>
        <v>14.25</v>
      </c>
      <c r="I1748">
        <f t="shared" si="27"/>
        <v>42.75</v>
      </c>
    </row>
    <row r="1749" spans="1:9" x14ac:dyDescent="0.25">
      <c r="A1749">
        <v>1017</v>
      </c>
      <c r="B1749" s="1">
        <v>45494</v>
      </c>
      <c r="C1749">
        <v>200</v>
      </c>
      <c r="D1749">
        <v>24</v>
      </c>
      <c r="E1749">
        <v>2</v>
      </c>
      <c r="F1749">
        <v>3</v>
      </c>
      <c r="G1749" t="s">
        <v>1044</v>
      </c>
      <c r="H1749">
        <f>_xlfn.XLOOKUP(D1749, productos!$A$2:$A$150, productos!$D$2:$D$150, "No Encontrado", 0)</f>
        <v>13.54</v>
      </c>
      <c r="I1749">
        <f t="shared" si="27"/>
        <v>27.08</v>
      </c>
    </row>
    <row r="1750" spans="1:9" x14ac:dyDescent="0.25">
      <c r="A1750">
        <v>1023</v>
      </c>
      <c r="B1750" s="1">
        <v>45494</v>
      </c>
      <c r="C1750">
        <v>104</v>
      </c>
      <c r="D1750">
        <v>4</v>
      </c>
      <c r="E1750">
        <v>2</v>
      </c>
      <c r="F1750">
        <v>5</v>
      </c>
      <c r="G1750" t="s">
        <v>1045</v>
      </c>
      <c r="H1750">
        <f>_xlfn.XLOOKUP(D1750, productos!$A$2:$A$150, productos!$D$2:$D$150, "No Encontrado", 0)</f>
        <v>19.23</v>
      </c>
      <c r="I1750">
        <f t="shared" si="27"/>
        <v>38.46</v>
      </c>
    </row>
    <row r="1751" spans="1:9" x14ac:dyDescent="0.25">
      <c r="A1751">
        <v>1885</v>
      </c>
      <c r="B1751" s="1">
        <v>45494</v>
      </c>
      <c r="C1751">
        <v>219</v>
      </c>
      <c r="D1751">
        <v>17</v>
      </c>
      <c r="E1751">
        <v>6</v>
      </c>
      <c r="F1751">
        <v>4</v>
      </c>
      <c r="G1751" t="s">
        <v>1044</v>
      </c>
      <c r="H1751">
        <f>_xlfn.XLOOKUP(D1751, productos!$A$2:$A$150, productos!$D$2:$D$150, "No Encontrado", 0)</f>
        <v>6.54</v>
      </c>
      <c r="I1751">
        <f t="shared" si="27"/>
        <v>39.24</v>
      </c>
    </row>
    <row r="1752" spans="1:9" x14ac:dyDescent="0.25">
      <c r="A1752">
        <v>1887</v>
      </c>
      <c r="B1752" s="1">
        <v>45494</v>
      </c>
      <c r="C1752">
        <v>19</v>
      </c>
      <c r="D1752">
        <v>19</v>
      </c>
      <c r="E1752">
        <v>2</v>
      </c>
      <c r="F1752">
        <v>5</v>
      </c>
      <c r="G1752" t="s">
        <v>1044</v>
      </c>
      <c r="H1752">
        <f>_xlfn.XLOOKUP(D1752, productos!$A$2:$A$150, productos!$D$2:$D$150, "No Encontrado", 0)</f>
        <v>6.54</v>
      </c>
      <c r="I1752">
        <f t="shared" si="27"/>
        <v>13.08</v>
      </c>
    </row>
    <row r="1753" spans="1:9" x14ac:dyDescent="0.25">
      <c r="A1753">
        <v>1943</v>
      </c>
      <c r="B1753" s="1">
        <v>45494</v>
      </c>
      <c r="C1753">
        <v>235</v>
      </c>
      <c r="D1753">
        <v>15</v>
      </c>
      <c r="E1753">
        <v>2</v>
      </c>
      <c r="F1753">
        <v>4</v>
      </c>
      <c r="G1753" t="s">
        <v>1044</v>
      </c>
      <c r="H1753">
        <f>_xlfn.XLOOKUP(D1753, productos!$A$2:$A$150, productos!$D$2:$D$150, "No Encontrado", 0)</f>
        <v>3.51</v>
      </c>
      <c r="I1753">
        <f t="shared" si="27"/>
        <v>7.02</v>
      </c>
    </row>
    <row r="1754" spans="1:9" x14ac:dyDescent="0.25">
      <c r="A1754">
        <v>2111</v>
      </c>
      <c r="B1754" s="1">
        <v>45494</v>
      </c>
      <c r="C1754">
        <v>289</v>
      </c>
      <c r="D1754">
        <v>23</v>
      </c>
      <c r="E1754">
        <v>2</v>
      </c>
      <c r="F1754">
        <v>3</v>
      </c>
      <c r="G1754" t="s">
        <v>1044</v>
      </c>
      <c r="H1754">
        <f>_xlfn.XLOOKUP(D1754, productos!$A$2:$A$150, productos!$D$2:$D$150, "No Encontrado", 0)</f>
        <v>8.23</v>
      </c>
      <c r="I1754">
        <f t="shared" si="27"/>
        <v>16.46</v>
      </c>
    </row>
    <row r="1755" spans="1:9" x14ac:dyDescent="0.25">
      <c r="A1755">
        <v>555</v>
      </c>
      <c r="B1755" s="1">
        <v>45495</v>
      </c>
      <c r="C1755">
        <v>234</v>
      </c>
      <c r="D1755">
        <v>27</v>
      </c>
      <c r="E1755">
        <v>5</v>
      </c>
      <c r="F1755">
        <v>3</v>
      </c>
      <c r="G1755" t="s">
        <v>1044</v>
      </c>
      <c r="H1755">
        <f>_xlfn.XLOOKUP(D1755, productos!$A$2:$A$150, productos!$D$2:$D$150, "No Encontrado", 0)</f>
        <v>6.21</v>
      </c>
      <c r="I1755">
        <f t="shared" si="27"/>
        <v>31.05</v>
      </c>
    </row>
    <row r="1756" spans="1:9" x14ac:dyDescent="0.25">
      <c r="A1756">
        <v>1034</v>
      </c>
      <c r="B1756" s="1">
        <v>45495</v>
      </c>
      <c r="C1756">
        <v>125</v>
      </c>
      <c r="D1756">
        <v>26</v>
      </c>
      <c r="E1756">
        <v>3</v>
      </c>
      <c r="F1756">
        <v>1</v>
      </c>
      <c r="G1756" t="s">
        <v>1045</v>
      </c>
      <c r="H1756">
        <f>_xlfn.XLOOKUP(D1756, productos!$A$2:$A$150, productos!$D$2:$D$150, "No Encontrado", 0)</f>
        <v>9.5399999999999991</v>
      </c>
      <c r="I1756">
        <f t="shared" si="27"/>
        <v>28.619999999999997</v>
      </c>
    </row>
    <row r="1757" spans="1:9" x14ac:dyDescent="0.25">
      <c r="A1757">
        <v>1641</v>
      </c>
      <c r="B1757" s="1">
        <v>45495</v>
      </c>
      <c r="C1757">
        <v>319</v>
      </c>
      <c r="D1757">
        <v>29</v>
      </c>
      <c r="E1757">
        <v>6</v>
      </c>
      <c r="F1757">
        <v>4</v>
      </c>
      <c r="G1757" t="s">
        <v>1045</v>
      </c>
      <c r="H1757">
        <f>_xlfn.XLOOKUP(D1757, productos!$A$2:$A$150, productos!$D$2:$D$150, "No Encontrado", 0)</f>
        <v>11.54</v>
      </c>
      <c r="I1757">
        <f t="shared" si="27"/>
        <v>69.239999999999995</v>
      </c>
    </row>
    <row r="1758" spans="1:9" x14ac:dyDescent="0.25">
      <c r="A1758">
        <v>1848</v>
      </c>
      <c r="B1758" s="1">
        <v>45495</v>
      </c>
      <c r="C1758">
        <v>323</v>
      </c>
      <c r="D1758">
        <v>2</v>
      </c>
      <c r="E1758">
        <v>5</v>
      </c>
      <c r="F1758">
        <v>2</v>
      </c>
      <c r="G1758" t="s">
        <v>1044</v>
      </c>
      <c r="H1758">
        <f>_xlfn.XLOOKUP(D1758, productos!$A$2:$A$150, productos!$D$2:$D$150, "No Encontrado", 0)</f>
        <v>5.21</v>
      </c>
      <c r="I1758">
        <f t="shared" si="27"/>
        <v>26.05</v>
      </c>
    </row>
    <row r="1759" spans="1:9" x14ac:dyDescent="0.25">
      <c r="A1759">
        <v>1990</v>
      </c>
      <c r="B1759" s="1">
        <v>45495</v>
      </c>
      <c r="C1759">
        <v>242</v>
      </c>
      <c r="D1759">
        <v>16</v>
      </c>
      <c r="E1759">
        <v>4</v>
      </c>
      <c r="F1759">
        <v>5</v>
      </c>
      <c r="G1759" t="s">
        <v>1044</v>
      </c>
      <c r="H1759">
        <f>_xlfn.XLOOKUP(D1759, productos!$A$2:$A$150, productos!$D$2:$D$150, "No Encontrado", 0)</f>
        <v>15.23</v>
      </c>
      <c r="I1759">
        <f t="shared" si="27"/>
        <v>60.92</v>
      </c>
    </row>
    <row r="1760" spans="1:9" x14ac:dyDescent="0.25">
      <c r="A1760">
        <v>2440</v>
      </c>
      <c r="B1760" s="1">
        <v>45495</v>
      </c>
      <c r="C1760">
        <v>21</v>
      </c>
      <c r="D1760">
        <v>35</v>
      </c>
      <c r="E1760">
        <v>6</v>
      </c>
      <c r="F1760">
        <v>4</v>
      </c>
      <c r="G1760" t="s">
        <v>1044</v>
      </c>
      <c r="H1760">
        <f>_xlfn.XLOOKUP(D1760, productos!$A$2:$A$150, productos!$D$2:$D$150, "No Encontrado", 0)</f>
        <v>4.25</v>
      </c>
      <c r="I1760">
        <f t="shared" si="27"/>
        <v>25.5</v>
      </c>
    </row>
    <row r="1761" spans="1:9" x14ac:dyDescent="0.25">
      <c r="A1761">
        <v>2837</v>
      </c>
      <c r="B1761" s="1">
        <v>45495</v>
      </c>
      <c r="C1761">
        <v>324</v>
      </c>
      <c r="D1761">
        <v>14</v>
      </c>
      <c r="E1761">
        <v>1</v>
      </c>
      <c r="F1761">
        <v>3</v>
      </c>
      <c r="G1761" t="s">
        <v>1044</v>
      </c>
      <c r="H1761">
        <f>_xlfn.XLOOKUP(D1761, productos!$A$2:$A$150, productos!$D$2:$D$150, "No Encontrado", 0)</f>
        <v>12.36</v>
      </c>
      <c r="I1761">
        <f t="shared" si="27"/>
        <v>12.36</v>
      </c>
    </row>
    <row r="1762" spans="1:9" x14ac:dyDescent="0.25">
      <c r="A1762">
        <v>538</v>
      </c>
      <c r="B1762" s="1">
        <v>45496</v>
      </c>
      <c r="C1762">
        <v>243</v>
      </c>
      <c r="D1762">
        <v>37</v>
      </c>
      <c r="E1762">
        <v>1</v>
      </c>
      <c r="F1762">
        <v>1</v>
      </c>
      <c r="G1762" t="s">
        <v>1045</v>
      </c>
      <c r="H1762">
        <f>_xlfn.XLOOKUP(D1762, productos!$A$2:$A$150, productos!$D$2:$D$150, "No Encontrado", 0)</f>
        <v>3.65</v>
      </c>
      <c r="I1762">
        <f t="shared" si="27"/>
        <v>3.65</v>
      </c>
    </row>
    <row r="1763" spans="1:9" x14ac:dyDescent="0.25">
      <c r="A1763">
        <v>574</v>
      </c>
      <c r="B1763" s="1">
        <v>45496</v>
      </c>
      <c r="C1763">
        <v>17</v>
      </c>
      <c r="D1763">
        <v>17</v>
      </c>
      <c r="E1763">
        <v>5</v>
      </c>
      <c r="F1763">
        <v>5</v>
      </c>
      <c r="G1763" t="s">
        <v>1044</v>
      </c>
      <c r="H1763">
        <f>_xlfn.XLOOKUP(D1763, productos!$A$2:$A$150, productos!$D$2:$D$150, "No Encontrado", 0)</f>
        <v>6.54</v>
      </c>
      <c r="I1763">
        <f t="shared" si="27"/>
        <v>32.700000000000003</v>
      </c>
    </row>
    <row r="1764" spans="1:9" x14ac:dyDescent="0.25">
      <c r="A1764">
        <v>1145</v>
      </c>
      <c r="B1764" s="1">
        <v>45496</v>
      </c>
      <c r="C1764">
        <v>90</v>
      </c>
      <c r="D1764">
        <v>25</v>
      </c>
      <c r="E1764">
        <v>6</v>
      </c>
      <c r="F1764">
        <v>2</v>
      </c>
      <c r="G1764" t="s">
        <v>1044</v>
      </c>
      <c r="H1764">
        <f>_xlfn.XLOOKUP(D1764, productos!$A$2:$A$150, productos!$D$2:$D$150, "No Encontrado", 0)</f>
        <v>15.45</v>
      </c>
      <c r="I1764">
        <f t="shared" si="27"/>
        <v>92.699999999999989</v>
      </c>
    </row>
    <row r="1765" spans="1:9" x14ac:dyDescent="0.25">
      <c r="A1765">
        <v>1261</v>
      </c>
      <c r="B1765" s="1">
        <v>45496</v>
      </c>
      <c r="C1765">
        <v>318</v>
      </c>
      <c r="D1765">
        <v>30</v>
      </c>
      <c r="E1765">
        <v>4</v>
      </c>
      <c r="F1765">
        <v>1</v>
      </c>
      <c r="G1765" t="s">
        <v>1044</v>
      </c>
      <c r="H1765">
        <f>_xlfn.XLOOKUP(D1765, productos!$A$2:$A$150, productos!$D$2:$D$150, "No Encontrado", 0)</f>
        <v>13.54</v>
      </c>
      <c r="I1765">
        <f t="shared" si="27"/>
        <v>54.16</v>
      </c>
    </row>
    <row r="1766" spans="1:9" x14ac:dyDescent="0.25">
      <c r="A1766">
        <v>1500</v>
      </c>
      <c r="B1766" s="1">
        <v>45496</v>
      </c>
      <c r="C1766">
        <v>141</v>
      </c>
      <c r="D1766">
        <v>23</v>
      </c>
      <c r="E1766">
        <v>5</v>
      </c>
      <c r="F1766">
        <v>4</v>
      </c>
      <c r="G1766" t="s">
        <v>1045</v>
      </c>
      <c r="H1766">
        <f>_xlfn.XLOOKUP(D1766, productos!$A$2:$A$150, productos!$D$2:$D$150, "No Encontrado", 0)</f>
        <v>8.23</v>
      </c>
      <c r="I1766">
        <f t="shared" si="27"/>
        <v>41.150000000000006</v>
      </c>
    </row>
    <row r="1767" spans="1:9" x14ac:dyDescent="0.25">
      <c r="A1767">
        <v>1912</v>
      </c>
      <c r="B1767" s="1">
        <v>45496</v>
      </c>
      <c r="C1767">
        <v>23</v>
      </c>
      <c r="D1767">
        <v>21</v>
      </c>
      <c r="E1767">
        <v>1</v>
      </c>
      <c r="F1767">
        <v>4</v>
      </c>
      <c r="G1767" t="s">
        <v>1044</v>
      </c>
      <c r="H1767">
        <f>_xlfn.XLOOKUP(D1767, productos!$A$2:$A$150, productos!$D$2:$D$150, "No Encontrado", 0)</f>
        <v>3.25</v>
      </c>
      <c r="I1767">
        <f t="shared" si="27"/>
        <v>3.25</v>
      </c>
    </row>
    <row r="1768" spans="1:9" x14ac:dyDescent="0.25">
      <c r="A1768">
        <v>2170</v>
      </c>
      <c r="B1768" s="1">
        <v>45496</v>
      </c>
      <c r="C1768">
        <v>130</v>
      </c>
      <c r="D1768">
        <v>2</v>
      </c>
      <c r="E1768">
        <v>1</v>
      </c>
      <c r="F1768">
        <v>4</v>
      </c>
      <c r="G1768" t="s">
        <v>1045</v>
      </c>
      <c r="H1768">
        <f>_xlfn.XLOOKUP(D1768, productos!$A$2:$A$150, productos!$D$2:$D$150, "No Encontrado", 0)</f>
        <v>5.21</v>
      </c>
      <c r="I1768">
        <f t="shared" si="27"/>
        <v>5.21</v>
      </c>
    </row>
    <row r="1769" spans="1:9" x14ac:dyDescent="0.25">
      <c r="A1769">
        <v>2736</v>
      </c>
      <c r="B1769" s="1">
        <v>45496</v>
      </c>
      <c r="C1769">
        <v>133</v>
      </c>
      <c r="D1769">
        <v>35</v>
      </c>
      <c r="E1769">
        <v>4</v>
      </c>
      <c r="F1769">
        <v>3</v>
      </c>
      <c r="G1769" t="s">
        <v>1044</v>
      </c>
      <c r="H1769">
        <f>_xlfn.XLOOKUP(D1769, productos!$A$2:$A$150, productos!$D$2:$D$150, "No Encontrado", 0)</f>
        <v>4.25</v>
      </c>
      <c r="I1769">
        <f t="shared" si="27"/>
        <v>17</v>
      </c>
    </row>
    <row r="1770" spans="1:9" x14ac:dyDescent="0.25">
      <c r="A1770">
        <v>2749</v>
      </c>
      <c r="B1770" s="1">
        <v>45496</v>
      </c>
      <c r="C1770">
        <v>248</v>
      </c>
      <c r="D1770">
        <v>18</v>
      </c>
      <c r="E1770">
        <v>2</v>
      </c>
      <c r="F1770">
        <v>1</v>
      </c>
      <c r="G1770" t="s">
        <v>1044</v>
      </c>
      <c r="H1770">
        <f>_xlfn.XLOOKUP(D1770, productos!$A$2:$A$150, productos!$D$2:$D$150, "No Encontrado", 0)</f>
        <v>7.25</v>
      </c>
      <c r="I1770">
        <f t="shared" si="27"/>
        <v>14.5</v>
      </c>
    </row>
    <row r="1771" spans="1:9" x14ac:dyDescent="0.25">
      <c r="A1771">
        <v>2927</v>
      </c>
      <c r="B1771" s="1">
        <v>45496</v>
      </c>
      <c r="C1771">
        <v>270</v>
      </c>
      <c r="D1771">
        <v>13</v>
      </c>
      <c r="E1771">
        <v>6</v>
      </c>
      <c r="F1771">
        <v>4</v>
      </c>
      <c r="G1771" t="s">
        <v>1044</v>
      </c>
      <c r="H1771">
        <f>_xlfn.XLOOKUP(D1771, productos!$A$2:$A$150, productos!$D$2:$D$150, "No Encontrado", 0)</f>
        <v>12.56</v>
      </c>
      <c r="I1771">
        <f t="shared" si="27"/>
        <v>75.36</v>
      </c>
    </row>
    <row r="1772" spans="1:9" x14ac:dyDescent="0.25">
      <c r="A1772">
        <v>953</v>
      </c>
      <c r="B1772" s="1">
        <v>45497</v>
      </c>
      <c r="C1772">
        <v>134</v>
      </c>
      <c r="D1772">
        <v>33</v>
      </c>
      <c r="E1772">
        <v>3</v>
      </c>
      <c r="F1772">
        <v>3</v>
      </c>
      <c r="G1772" t="s">
        <v>1044</v>
      </c>
      <c r="H1772">
        <f>_xlfn.XLOOKUP(D1772, productos!$A$2:$A$150, productos!$D$2:$D$150, "No Encontrado", 0)</f>
        <v>8.5399999999999991</v>
      </c>
      <c r="I1772">
        <f t="shared" si="27"/>
        <v>25.619999999999997</v>
      </c>
    </row>
    <row r="1773" spans="1:9" x14ac:dyDescent="0.25">
      <c r="A1773">
        <v>1314</v>
      </c>
      <c r="B1773" s="1">
        <v>45497</v>
      </c>
      <c r="C1773">
        <v>290</v>
      </c>
      <c r="D1773">
        <v>6</v>
      </c>
      <c r="E1773">
        <v>3</v>
      </c>
      <c r="F1773">
        <v>2</v>
      </c>
      <c r="G1773" t="s">
        <v>1044</v>
      </c>
      <c r="H1773">
        <f>_xlfn.XLOOKUP(D1773, productos!$A$2:$A$150, productos!$D$2:$D$150, "No Encontrado", 0)</f>
        <v>28.56</v>
      </c>
      <c r="I1773">
        <f t="shared" si="27"/>
        <v>85.679999999999993</v>
      </c>
    </row>
    <row r="1774" spans="1:9" x14ac:dyDescent="0.25">
      <c r="A1774">
        <v>1994</v>
      </c>
      <c r="B1774" s="1">
        <v>45497</v>
      </c>
      <c r="C1774">
        <v>323</v>
      </c>
      <c r="D1774">
        <v>31</v>
      </c>
      <c r="E1774">
        <v>6</v>
      </c>
      <c r="F1774">
        <v>5</v>
      </c>
      <c r="G1774" t="s">
        <v>1044</v>
      </c>
      <c r="H1774">
        <f>_xlfn.XLOOKUP(D1774, productos!$A$2:$A$150, productos!$D$2:$D$150, "No Encontrado", 0)</f>
        <v>5.24</v>
      </c>
      <c r="I1774">
        <f t="shared" si="27"/>
        <v>31.44</v>
      </c>
    </row>
    <row r="1775" spans="1:9" x14ac:dyDescent="0.25">
      <c r="A1775">
        <v>2215</v>
      </c>
      <c r="B1775" s="1">
        <v>45497</v>
      </c>
      <c r="C1775">
        <v>35</v>
      </c>
      <c r="D1775">
        <v>28</v>
      </c>
      <c r="E1775">
        <v>1</v>
      </c>
      <c r="F1775">
        <v>1</v>
      </c>
      <c r="G1775" t="s">
        <v>1045</v>
      </c>
      <c r="H1775">
        <f>_xlfn.XLOOKUP(D1775, productos!$A$2:$A$150, productos!$D$2:$D$150, "No Encontrado", 0)</f>
        <v>9.4499999999999993</v>
      </c>
      <c r="I1775">
        <f t="shared" si="27"/>
        <v>9.4499999999999993</v>
      </c>
    </row>
    <row r="1776" spans="1:9" x14ac:dyDescent="0.25">
      <c r="A1776">
        <v>2277</v>
      </c>
      <c r="B1776" s="1">
        <v>45497</v>
      </c>
      <c r="C1776">
        <v>144</v>
      </c>
      <c r="D1776">
        <v>36</v>
      </c>
      <c r="E1776">
        <v>3</v>
      </c>
      <c r="F1776">
        <v>2</v>
      </c>
      <c r="G1776" t="s">
        <v>1044</v>
      </c>
      <c r="H1776">
        <f>_xlfn.XLOOKUP(D1776, productos!$A$2:$A$150, productos!$D$2:$D$150, "No Encontrado", 0)</f>
        <v>3.25</v>
      </c>
      <c r="I1776">
        <f t="shared" si="27"/>
        <v>9.75</v>
      </c>
    </row>
    <row r="1777" spans="1:9" x14ac:dyDescent="0.25">
      <c r="A1777">
        <v>2528</v>
      </c>
      <c r="B1777" s="1">
        <v>45497</v>
      </c>
      <c r="C1777">
        <v>164</v>
      </c>
      <c r="D1777">
        <v>13</v>
      </c>
      <c r="E1777">
        <v>1</v>
      </c>
      <c r="F1777">
        <v>1</v>
      </c>
      <c r="G1777" t="s">
        <v>1044</v>
      </c>
      <c r="H1777">
        <f>_xlfn.XLOOKUP(D1777, productos!$A$2:$A$150, productos!$D$2:$D$150, "No Encontrado", 0)</f>
        <v>12.56</v>
      </c>
      <c r="I1777">
        <f t="shared" si="27"/>
        <v>12.56</v>
      </c>
    </row>
    <row r="1778" spans="1:9" x14ac:dyDescent="0.25">
      <c r="A1778">
        <v>2695</v>
      </c>
      <c r="B1778" s="1">
        <v>45497</v>
      </c>
      <c r="C1778">
        <v>58</v>
      </c>
      <c r="D1778">
        <v>31</v>
      </c>
      <c r="E1778">
        <v>1</v>
      </c>
      <c r="F1778">
        <v>5</v>
      </c>
      <c r="G1778" t="s">
        <v>1044</v>
      </c>
      <c r="H1778">
        <f>_xlfn.XLOOKUP(D1778, productos!$A$2:$A$150, productos!$D$2:$D$150, "No Encontrado", 0)</f>
        <v>5.24</v>
      </c>
      <c r="I1778">
        <f t="shared" si="27"/>
        <v>5.24</v>
      </c>
    </row>
    <row r="1779" spans="1:9" x14ac:dyDescent="0.25">
      <c r="A1779">
        <v>2725</v>
      </c>
      <c r="B1779" s="1">
        <v>45497</v>
      </c>
      <c r="C1779">
        <v>256</v>
      </c>
      <c r="D1779">
        <v>6</v>
      </c>
      <c r="E1779">
        <v>3</v>
      </c>
      <c r="F1779">
        <v>1</v>
      </c>
      <c r="G1779" t="s">
        <v>1044</v>
      </c>
      <c r="H1779">
        <f>_xlfn.XLOOKUP(D1779, productos!$A$2:$A$150, productos!$D$2:$D$150, "No Encontrado", 0)</f>
        <v>28.56</v>
      </c>
      <c r="I1779">
        <f t="shared" si="27"/>
        <v>85.679999999999993</v>
      </c>
    </row>
    <row r="1780" spans="1:9" x14ac:dyDescent="0.25">
      <c r="A1780">
        <v>939</v>
      </c>
      <c r="B1780" s="1">
        <v>45498</v>
      </c>
      <c r="C1780">
        <v>150</v>
      </c>
      <c r="D1780">
        <v>14</v>
      </c>
      <c r="E1780">
        <v>2</v>
      </c>
      <c r="F1780">
        <v>5</v>
      </c>
      <c r="G1780" t="s">
        <v>1044</v>
      </c>
      <c r="H1780">
        <f>_xlfn.XLOOKUP(D1780, productos!$A$2:$A$150, productos!$D$2:$D$150, "No Encontrado", 0)</f>
        <v>12.36</v>
      </c>
      <c r="I1780">
        <f t="shared" si="27"/>
        <v>24.72</v>
      </c>
    </row>
    <row r="1781" spans="1:9" x14ac:dyDescent="0.25">
      <c r="A1781">
        <v>1255</v>
      </c>
      <c r="B1781" s="1">
        <v>45498</v>
      </c>
      <c r="C1781">
        <v>25</v>
      </c>
      <c r="D1781">
        <v>35</v>
      </c>
      <c r="E1781">
        <v>6</v>
      </c>
      <c r="F1781">
        <v>4</v>
      </c>
      <c r="G1781" t="s">
        <v>1045</v>
      </c>
      <c r="H1781">
        <f>_xlfn.XLOOKUP(D1781, productos!$A$2:$A$150, productos!$D$2:$D$150, "No Encontrado", 0)</f>
        <v>4.25</v>
      </c>
      <c r="I1781">
        <f t="shared" si="27"/>
        <v>25.5</v>
      </c>
    </row>
    <row r="1782" spans="1:9" x14ac:dyDescent="0.25">
      <c r="A1782">
        <v>1353</v>
      </c>
      <c r="B1782" s="1">
        <v>45498</v>
      </c>
      <c r="C1782">
        <v>317</v>
      </c>
      <c r="D1782">
        <v>34</v>
      </c>
      <c r="E1782">
        <v>3</v>
      </c>
      <c r="F1782">
        <v>1</v>
      </c>
      <c r="G1782" t="s">
        <v>1044</v>
      </c>
      <c r="H1782">
        <f>_xlfn.XLOOKUP(D1782, productos!$A$2:$A$150, productos!$D$2:$D$150, "No Encontrado", 0)</f>
        <v>5.45</v>
      </c>
      <c r="I1782">
        <f t="shared" si="27"/>
        <v>16.350000000000001</v>
      </c>
    </row>
    <row r="1783" spans="1:9" x14ac:dyDescent="0.25">
      <c r="A1783">
        <v>1408</v>
      </c>
      <c r="B1783" s="1">
        <v>45498</v>
      </c>
      <c r="C1783">
        <v>124</v>
      </c>
      <c r="D1783">
        <v>12</v>
      </c>
      <c r="E1783">
        <v>1</v>
      </c>
      <c r="F1783">
        <v>5</v>
      </c>
      <c r="G1783" t="s">
        <v>1044</v>
      </c>
      <c r="H1783">
        <f>_xlfn.XLOOKUP(D1783, productos!$A$2:$A$150, productos!$D$2:$D$150, "No Encontrado", 0)</f>
        <v>8.1199999999999992</v>
      </c>
      <c r="I1783">
        <f t="shared" si="27"/>
        <v>8.1199999999999992</v>
      </c>
    </row>
    <row r="1784" spans="1:9" x14ac:dyDescent="0.25">
      <c r="A1784">
        <v>1580</v>
      </c>
      <c r="B1784" s="1">
        <v>45498</v>
      </c>
      <c r="C1784">
        <v>209</v>
      </c>
      <c r="D1784">
        <v>9</v>
      </c>
      <c r="E1784">
        <v>6</v>
      </c>
      <c r="F1784">
        <v>3</v>
      </c>
      <c r="G1784" t="s">
        <v>1044</v>
      </c>
      <c r="H1784">
        <f>_xlfn.XLOOKUP(D1784, productos!$A$2:$A$150, productos!$D$2:$D$150, "No Encontrado", 0)</f>
        <v>18.559999999999999</v>
      </c>
      <c r="I1784">
        <f t="shared" si="27"/>
        <v>111.35999999999999</v>
      </c>
    </row>
    <row r="1785" spans="1:9" x14ac:dyDescent="0.25">
      <c r="A1785">
        <v>1744</v>
      </c>
      <c r="B1785" s="1">
        <v>45498</v>
      </c>
      <c r="C1785">
        <v>314</v>
      </c>
      <c r="D1785">
        <v>34</v>
      </c>
      <c r="E1785">
        <v>3</v>
      </c>
      <c r="F1785">
        <v>5</v>
      </c>
      <c r="G1785" t="s">
        <v>1044</v>
      </c>
      <c r="H1785">
        <f>_xlfn.XLOOKUP(D1785, productos!$A$2:$A$150, productos!$D$2:$D$150, "No Encontrado", 0)</f>
        <v>5.45</v>
      </c>
      <c r="I1785">
        <f t="shared" si="27"/>
        <v>16.350000000000001</v>
      </c>
    </row>
    <row r="1786" spans="1:9" x14ac:dyDescent="0.25">
      <c r="A1786">
        <v>2471</v>
      </c>
      <c r="B1786" s="1">
        <v>45498</v>
      </c>
      <c r="C1786">
        <v>32</v>
      </c>
      <c r="D1786">
        <v>35</v>
      </c>
      <c r="E1786">
        <v>2</v>
      </c>
      <c r="F1786">
        <v>3</v>
      </c>
      <c r="G1786" t="s">
        <v>1044</v>
      </c>
      <c r="H1786">
        <f>_xlfn.XLOOKUP(D1786, productos!$A$2:$A$150, productos!$D$2:$D$150, "No Encontrado", 0)</f>
        <v>4.25</v>
      </c>
      <c r="I1786">
        <f t="shared" si="27"/>
        <v>8.5</v>
      </c>
    </row>
    <row r="1787" spans="1:9" x14ac:dyDescent="0.25">
      <c r="A1787">
        <v>2525</v>
      </c>
      <c r="B1787" s="1">
        <v>45498</v>
      </c>
      <c r="C1787">
        <v>231</v>
      </c>
      <c r="D1787">
        <v>38</v>
      </c>
      <c r="E1787">
        <v>4</v>
      </c>
      <c r="F1787">
        <v>5</v>
      </c>
      <c r="G1787" t="s">
        <v>1044</v>
      </c>
      <c r="H1787">
        <f>_xlfn.XLOOKUP(D1787, productos!$A$2:$A$150, productos!$D$2:$D$150, "No Encontrado", 0)</f>
        <v>6.21</v>
      </c>
      <c r="I1787">
        <f t="shared" si="27"/>
        <v>24.84</v>
      </c>
    </row>
    <row r="1788" spans="1:9" x14ac:dyDescent="0.25">
      <c r="A1788">
        <v>392</v>
      </c>
      <c r="B1788" s="1">
        <v>45499</v>
      </c>
      <c r="C1788">
        <v>150</v>
      </c>
      <c r="D1788">
        <v>15</v>
      </c>
      <c r="E1788">
        <v>5</v>
      </c>
      <c r="F1788">
        <v>5</v>
      </c>
      <c r="G1788" t="s">
        <v>1044</v>
      </c>
      <c r="H1788">
        <f>_xlfn.XLOOKUP(D1788, productos!$A$2:$A$150, productos!$D$2:$D$150, "No Encontrado", 0)</f>
        <v>3.51</v>
      </c>
      <c r="I1788">
        <f t="shared" si="27"/>
        <v>17.549999999999997</v>
      </c>
    </row>
    <row r="1789" spans="1:9" x14ac:dyDescent="0.25">
      <c r="A1789">
        <v>410</v>
      </c>
      <c r="B1789" s="1">
        <v>45499</v>
      </c>
      <c r="C1789">
        <v>165</v>
      </c>
      <c r="D1789">
        <v>34</v>
      </c>
      <c r="E1789">
        <v>5</v>
      </c>
      <c r="F1789">
        <v>2</v>
      </c>
      <c r="G1789" t="s">
        <v>1045</v>
      </c>
      <c r="H1789">
        <f>_xlfn.XLOOKUP(D1789, productos!$A$2:$A$150, productos!$D$2:$D$150, "No Encontrado", 0)</f>
        <v>5.45</v>
      </c>
      <c r="I1789">
        <f t="shared" si="27"/>
        <v>27.25</v>
      </c>
    </row>
    <row r="1790" spans="1:9" x14ac:dyDescent="0.25">
      <c r="A1790">
        <v>515</v>
      </c>
      <c r="B1790" s="1">
        <v>45499</v>
      </c>
      <c r="C1790">
        <v>35</v>
      </c>
      <c r="D1790">
        <v>13</v>
      </c>
      <c r="E1790">
        <v>3</v>
      </c>
      <c r="F1790">
        <v>4</v>
      </c>
      <c r="G1790" t="s">
        <v>1044</v>
      </c>
      <c r="H1790">
        <f>_xlfn.XLOOKUP(D1790, productos!$A$2:$A$150, productos!$D$2:$D$150, "No Encontrado", 0)</f>
        <v>12.56</v>
      </c>
      <c r="I1790">
        <f t="shared" si="27"/>
        <v>37.68</v>
      </c>
    </row>
    <row r="1791" spans="1:9" x14ac:dyDescent="0.25">
      <c r="A1791">
        <v>770</v>
      </c>
      <c r="B1791" s="1">
        <v>45499</v>
      </c>
      <c r="C1791">
        <v>123</v>
      </c>
      <c r="D1791">
        <v>9</v>
      </c>
      <c r="E1791">
        <v>1</v>
      </c>
      <c r="F1791">
        <v>1</v>
      </c>
      <c r="G1791" t="s">
        <v>1044</v>
      </c>
      <c r="H1791">
        <f>_xlfn.XLOOKUP(D1791, productos!$A$2:$A$150, productos!$D$2:$D$150, "No Encontrado", 0)</f>
        <v>18.559999999999999</v>
      </c>
      <c r="I1791">
        <f t="shared" si="27"/>
        <v>18.559999999999999</v>
      </c>
    </row>
    <row r="1792" spans="1:9" x14ac:dyDescent="0.25">
      <c r="A1792">
        <v>1004</v>
      </c>
      <c r="B1792" s="1">
        <v>45499</v>
      </c>
      <c r="C1792">
        <v>71</v>
      </c>
      <c r="D1792">
        <v>29</v>
      </c>
      <c r="E1792">
        <v>5</v>
      </c>
      <c r="F1792">
        <v>5</v>
      </c>
      <c r="G1792" t="s">
        <v>1044</v>
      </c>
      <c r="H1792">
        <f>_xlfn.XLOOKUP(D1792, productos!$A$2:$A$150, productos!$D$2:$D$150, "No Encontrado", 0)</f>
        <v>11.54</v>
      </c>
      <c r="I1792">
        <f t="shared" si="27"/>
        <v>57.699999999999996</v>
      </c>
    </row>
    <row r="1793" spans="1:9" x14ac:dyDescent="0.25">
      <c r="A1793">
        <v>1070</v>
      </c>
      <c r="B1793" s="1">
        <v>45499</v>
      </c>
      <c r="C1793">
        <v>174</v>
      </c>
      <c r="D1793">
        <v>12</v>
      </c>
      <c r="E1793">
        <v>6</v>
      </c>
      <c r="F1793">
        <v>4</v>
      </c>
      <c r="G1793" t="s">
        <v>1044</v>
      </c>
      <c r="H1793">
        <f>_xlfn.XLOOKUP(D1793, productos!$A$2:$A$150, productos!$D$2:$D$150, "No Encontrado", 0)</f>
        <v>8.1199999999999992</v>
      </c>
      <c r="I1793">
        <f t="shared" si="27"/>
        <v>48.72</v>
      </c>
    </row>
    <row r="1794" spans="1:9" x14ac:dyDescent="0.25">
      <c r="A1794">
        <v>1233</v>
      </c>
      <c r="B1794" s="1">
        <v>45499</v>
      </c>
      <c r="C1794">
        <v>199</v>
      </c>
      <c r="D1794">
        <v>16</v>
      </c>
      <c r="E1794">
        <v>4</v>
      </c>
      <c r="F1794">
        <v>3</v>
      </c>
      <c r="G1794" t="s">
        <v>1046</v>
      </c>
      <c r="H1794">
        <f>_xlfn.XLOOKUP(D1794, productos!$A$2:$A$150, productos!$D$2:$D$150, "No Encontrado", 0)</f>
        <v>15.23</v>
      </c>
      <c r="I1794">
        <f t="shared" si="27"/>
        <v>60.92</v>
      </c>
    </row>
    <row r="1795" spans="1:9" x14ac:dyDescent="0.25">
      <c r="A1795">
        <v>1678</v>
      </c>
      <c r="B1795" s="1">
        <v>45499</v>
      </c>
      <c r="C1795">
        <v>170</v>
      </c>
      <c r="D1795">
        <v>32</v>
      </c>
      <c r="E1795">
        <v>6</v>
      </c>
      <c r="F1795">
        <v>4</v>
      </c>
      <c r="G1795" t="s">
        <v>1045</v>
      </c>
      <c r="H1795">
        <f>_xlfn.XLOOKUP(D1795, productos!$A$2:$A$150, productos!$D$2:$D$150, "No Encontrado", 0)</f>
        <v>6.25</v>
      </c>
      <c r="I1795">
        <f t="shared" ref="I1795:I1858" si="28">E1795*H1795</f>
        <v>37.5</v>
      </c>
    </row>
    <row r="1796" spans="1:9" x14ac:dyDescent="0.25">
      <c r="A1796">
        <v>2760</v>
      </c>
      <c r="B1796" s="1">
        <v>45499</v>
      </c>
      <c r="C1796">
        <v>159</v>
      </c>
      <c r="D1796">
        <v>16</v>
      </c>
      <c r="E1796">
        <v>5</v>
      </c>
      <c r="F1796">
        <v>4</v>
      </c>
      <c r="G1796" t="s">
        <v>1044</v>
      </c>
      <c r="H1796">
        <f>_xlfn.XLOOKUP(D1796, productos!$A$2:$A$150, productos!$D$2:$D$150, "No Encontrado", 0)</f>
        <v>15.23</v>
      </c>
      <c r="I1796">
        <f t="shared" si="28"/>
        <v>76.150000000000006</v>
      </c>
    </row>
    <row r="1797" spans="1:9" x14ac:dyDescent="0.25">
      <c r="A1797">
        <v>2779</v>
      </c>
      <c r="B1797" s="1">
        <v>45499</v>
      </c>
      <c r="C1797">
        <v>237</v>
      </c>
      <c r="D1797">
        <v>26</v>
      </c>
      <c r="E1797">
        <v>3</v>
      </c>
      <c r="F1797">
        <v>5</v>
      </c>
      <c r="G1797" t="s">
        <v>1044</v>
      </c>
      <c r="H1797">
        <f>_xlfn.XLOOKUP(D1797, productos!$A$2:$A$150, productos!$D$2:$D$150, "No Encontrado", 0)</f>
        <v>9.5399999999999991</v>
      </c>
      <c r="I1797">
        <f t="shared" si="28"/>
        <v>28.619999999999997</v>
      </c>
    </row>
    <row r="1798" spans="1:9" x14ac:dyDescent="0.25">
      <c r="A1798">
        <v>2836</v>
      </c>
      <c r="B1798" s="1">
        <v>45499</v>
      </c>
      <c r="C1798">
        <v>139</v>
      </c>
      <c r="D1798">
        <v>13</v>
      </c>
      <c r="E1798">
        <v>5</v>
      </c>
      <c r="F1798">
        <v>1</v>
      </c>
      <c r="G1798" t="s">
        <v>1044</v>
      </c>
      <c r="H1798">
        <f>_xlfn.XLOOKUP(D1798, productos!$A$2:$A$150, productos!$D$2:$D$150, "No Encontrado", 0)</f>
        <v>12.56</v>
      </c>
      <c r="I1798">
        <f t="shared" si="28"/>
        <v>62.800000000000004</v>
      </c>
    </row>
    <row r="1799" spans="1:9" x14ac:dyDescent="0.25">
      <c r="A1799">
        <v>2986</v>
      </c>
      <c r="B1799" s="1">
        <v>45499</v>
      </c>
      <c r="C1799">
        <v>228</v>
      </c>
      <c r="D1799">
        <v>11</v>
      </c>
      <c r="E1799">
        <v>4</v>
      </c>
      <c r="F1799">
        <v>4</v>
      </c>
      <c r="G1799" t="s">
        <v>1044</v>
      </c>
      <c r="H1799">
        <f>_xlfn.XLOOKUP(D1799, productos!$A$2:$A$150, productos!$D$2:$D$150, "No Encontrado", 0)</f>
        <v>11.23</v>
      </c>
      <c r="I1799">
        <f t="shared" si="28"/>
        <v>44.92</v>
      </c>
    </row>
    <row r="1800" spans="1:9" x14ac:dyDescent="0.25">
      <c r="A1800">
        <v>344</v>
      </c>
      <c r="B1800" s="1">
        <v>45500</v>
      </c>
      <c r="C1800">
        <v>151</v>
      </c>
      <c r="D1800">
        <v>19</v>
      </c>
      <c r="E1800">
        <v>2</v>
      </c>
      <c r="F1800">
        <v>3</v>
      </c>
      <c r="G1800" t="s">
        <v>1045</v>
      </c>
      <c r="H1800">
        <f>_xlfn.XLOOKUP(D1800, productos!$A$2:$A$150, productos!$D$2:$D$150, "No Encontrado", 0)</f>
        <v>6.54</v>
      </c>
      <c r="I1800">
        <f t="shared" si="28"/>
        <v>13.08</v>
      </c>
    </row>
    <row r="1801" spans="1:9" x14ac:dyDescent="0.25">
      <c r="A1801">
        <v>475</v>
      </c>
      <c r="B1801" s="1">
        <v>45500</v>
      </c>
      <c r="C1801">
        <v>314</v>
      </c>
      <c r="D1801">
        <v>36</v>
      </c>
      <c r="E1801">
        <v>5</v>
      </c>
      <c r="F1801">
        <v>1</v>
      </c>
      <c r="G1801" t="s">
        <v>1044</v>
      </c>
      <c r="H1801">
        <f>_xlfn.XLOOKUP(D1801, productos!$A$2:$A$150, productos!$D$2:$D$150, "No Encontrado", 0)</f>
        <v>3.25</v>
      </c>
      <c r="I1801">
        <f t="shared" si="28"/>
        <v>16.25</v>
      </c>
    </row>
    <row r="1802" spans="1:9" x14ac:dyDescent="0.25">
      <c r="A1802">
        <v>771</v>
      </c>
      <c r="B1802" s="1">
        <v>45500</v>
      </c>
      <c r="C1802">
        <v>78</v>
      </c>
      <c r="D1802">
        <v>32</v>
      </c>
      <c r="E1802">
        <v>4</v>
      </c>
      <c r="F1802">
        <v>2</v>
      </c>
      <c r="G1802" t="s">
        <v>1044</v>
      </c>
      <c r="H1802">
        <f>_xlfn.XLOOKUP(D1802, productos!$A$2:$A$150, productos!$D$2:$D$150, "No Encontrado", 0)</f>
        <v>6.25</v>
      </c>
      <c r="I1802">
        <f t="shared" si="28"/>
        <v>25</v>
      </c>
    </row>
    <row r="1803" spans="1:9" x14ac:dyDescent="0.25">
      <c r="A1803">
        <v>1516</v>
      </c>
      <c r="B1803" s="1">
        <v>45500</v>
      </c>
      <c r="C1803">
        <v>22</v>
      </c>
      <c r="D1803">
        <v>14</v>
      </c>
      <c r="E1803">
        <v>2</v>
      </c>
      <c r="F1803">
        <v>4</v>
      </c>
      <c r="G1803" t="s">
        <v>1044</v>
      </c>
      <c r="H1803">
        <f>_xlfn.XLOOKUP(D1803, productos!$A$2:$A$150, productos!$D$2:$D$150, "No Encontrado", 0)</f>
        <v>12.36</v>
      </c>
      <c r="I1803">
        <f t="shared" si="28"/>
        <v>24.72</v>
      </c>
    </row>
    <row r="1804" spans="1:9" x14ac:dyDescent="0.25">
      <c r="A1804">
        <v>1858</v>
      </c>
      <c r="B1804" s="1">
        <v>45500</v>
      </c>
      <c r="C1804">
        <v>301</v>
      </c>
      <c r="D1804">
        <v>26</v>
      </c>
      <c r="E1804">
        <v>2</v>
      </c>
      <c r="F1804">
        <v>4</v>
      </c>
      <c r="G1804" t="s">
        <v>1045</v>
      </c>
      <c r="H1804">
        <f>_xlfn.XLOOKUP(D1804, productos!$A$2:$A$150, productos!$D$2:$D$150, "No Encontrado", 0)</f>
        <v>9.5399999999999991</v>
      </c>
      <c r="I1804">
        <f t="shared" si="28"/>
        <v>19.079999999999998</v>
      </c>
    </row>
    <row r="1805" spans="1:9" x14ac:dyDescent="0.25">
      <c r="A1805">
        <v>2237</v>
      </c>
      <c r="B1805" s="1">
        <v>45500</v>
      </c>
      <c r="C1805">
        <v>233</v>
      </c>
      <c r="D1805">
        <v>38</v>
      </c>
      <c r="E1805">
        <v>5</v>
      </c>
      <c r="F1805">
        <v>4</v>
      </c>
      <c r="G1805" t="s">
        <v>1044</v>
      </c>
      <c r="H1805">
        <f>_xlfn.XLOOKUP(D1805, productos!$A$2:$A$150, productos!$D$2:$D$150, "No Encontrado", 0)</f>
        <v>6.21</v>
      </c>
      <c r="I1805">
        <f t="shared" si="28"/>
        <v>31.05</v>
      </c>
    </row>
    <row r="1806" spans="1:9" x14ac:dyDescent="0.25">
      <c r="A1806">
        <v>2282</v>
      </c>
      <c r="B1806" s="1">
        <v>45500</v>
      </c>
      <c r="C1806">
        <v>192</v>
      </c>
      <c r="D1806">
        <v>6</v>
      </c>
      <c r="E1806">
        <v>6</v>
      </c>
      <c r="F1806">
        <v>4</v>
      </c>
      <c r="G1806" t="s">
        <v>1044</v>
      </c>
      <c r="H1806">
        <f>_xlfn.XLOOKUP(D1806, productos!$A$2:$A$150, productos!$D$2:$D$150, "No Encontrado", 0)</f>
        <v>28.56</v>
      </c>
      <c r="I1806">
        <f t="shared" si="28"/>
        <v>171.35999999999999</v>
      </c>
    </row>
    <row r="1807" spans="1:9" x14ac:dyDescent="0.25">
      <c r="A1807">
        <v>2293</v>
      </c>
      <c r="B1807" s="1">
        <v>45500</v>
      </c>
      <c r="C1807">
        <v>300</v>
      </c>
      <c r="D1807">
        <v>6</v>
      </c>
      <c r="E1807">
        <v>3</v>
      </c>
      <c r="F1807">
        <v>4</v>
      </c>
      <c r="G1807" t="s">
        <v>1044</v>
      </c>
      <c r="H1807">
        <f>_xlfn.XLOOKUP(D1807, productos!$A$2:$A$150, productos!$D$2:$D$150, "No Encontrado", 0)</f>
        <v>28.56</v>
      </c>
      <c r="I1807">
        <f t="shared" si="28"/>
        <v>85.679999999999993</v>
      </c>
    </row>
    <row r="1808" spans="1:9" x14ac:dyDescent="0.25">
      <c r="A1808">
        <v>411</v>
      </c>
      <c r="B1808" s="1">
        <v>45501</v>
      </c>
      <c r="C1808">
        <v>142</v>
      </c>
      <c r="D1808">
        <v>23</v>
      </c>
      <c r="E1808">
        <v>5</v>
      </c>
      <c r="F1808">
        <v>4</v>
      </c>
      <c r="G1808" t="s">
        <v>1044</v>
      </c>
      <c r="H1808">
        <f>_xlfn.XLOOKUP(D1808, productos!$A$2:$A$150, productos!$D$2:$D$150, "No Encontrado", 0)</f>
        <v>8.23</v>
      </c>
      <c r="I1808">
        <f t="shared" si="28"/>
        <v>41.150000000000006</v>
      </c>
    </row>
    <row r="1809" spans="1:9" x14ac:dyDescent="0.25">
      <c r="A1809">
        <v>838</v>
      </c>
      <c r="B1809" s="1">
        <v>45501</v>
      </c>
      <c r="C1809">
        <v>304</v>
      </c>
      <c r="D1809">
        <v>38</v>
      </c>
      <c r="E1809">
        <v>3</v>
      </c>
      <c r="F1809">
        <v>1</v>
      </c>
      <c r="G1809" t="s">
        <v>1044</v>
      </c>
      <c r="H1809">
        <f>_xlfn.XLOOKUP(D1809, productos!$A$2:$A$150, productos!$D$2:$D$150, "No Encontrado", 0)</f>
        <v>6.21</v>
      </c>
      <c r="I1809">
        <f t="shared" si="28"/>
        <v>18.63</v>
      </c>
    </row>
    <row r="1810" spans="1:9" x14ac:dyDescent="0.25">
      <c r="A1810">
        <v>2389</v>
      </c>
      <c r="B1810" s="1">
        <v>45501</v>
      </c>
      <c r="C1810">
        <v>64</v>
      </c>
      <c r="D1810">
        <v>29</v>
      </c>
      <c r="E1810">
        <v>1</v>
      </c>
      <c r="F1810">
        <v>1</v>
      </c>
      <c r="G1810" t="s">
        <v>1044</v>
      </c>
      <c r="H1810">
        <f>_xlfn.XLOOKUP(D1810, productos!$A$2:$A$150, productos!$D$2:$D$150, "No Encontrado", 0)</f>
        <v>11.54</v>
      </c>
      <c r="I1810">
        <f t="shared" si="28"/>
        <v>11.54</v>
      </c>
    </row>
    <row r="1811" spans="1:9" x14ac:dyDescent="0.25">
      <c r="A1811">
        <v>531</v>
      </c>
      <c r="B1811" s="1">
        <v>45502</v>
      </c>
      <c r="C1811">
        <v>24</v>
      </c>
      <c r="D1811">
        <v>27</v>
      </c>
      <c r="E1811">
        <v>2</v>
      </c>
      <c r="F1811">
        <v>4</v>
      </c>
      <c r="G1811" t="s">
        <v>1044</v>
      </c>
      <c r="H1811">
        <f>_xlfn.XLOOKUP(D1811, productos!$A$2:$A$150, productos!$D$2:$D$150, "No Encontrado", 0)</f>
        <v>6.21</v>
      </c>
      <c r="I1811">
        <f t="shared" si="28"/>
        <v>12.42</v>
      </c>
    </row>
    <row r="1812" spans="1:9" x14ac:dyDescent="0.25">
      <c r="A1812">
        <v>701</v>
      </c>
      <c r="B1812" s="1">
        <v>45502</v>
      </c>
      <c r="C1812">
        <v>77</v>
      </c>
      <c r="D1812">
        <v>21</v>
      </c>
      <c r="E1812">
        <v>2</v>
      </c>
      <c r="F1812">
        <v>3</v>
      </c>
      <c r="G1812" t="s">
        <v>1045</v>
      </c>
      <c r="H1812">
        <f>_xlfn.XLOOKUP(D1812, productos!$A$2:$A$150, productos!$D$2:$D$150, "No Encontrado", 0)</f>
        <v>3.25</v>
      </c>
      <c r="I1812">
        <f t="shared" si="28"/>
        <v>6.5</v>
      </c>
    </row>
    <row r="1813" spans="1:9" x14ac:dyDescent="0.25">
      <c r="A1813">
        <v>1515</v>
      </c>
      <c r="B1813" s="1">
        <v>45502</v>
      </c>
      <c r="C1813">
        <v>22</v>
      </c>
      <c r="D1813">
        <v>3</v>
      </c>
      <c r="E1813">
        <v>3</v>
      </c>
      <c r="F1813">
        <v>1</v>
      </c>
      <c r="G1813" t="s">
        <v>1044</v>
      </c>
      <c r="H1813">
        <f>_xlfn.XLOOKUP(D1813, productos!$A$2:$A$150, productos!$D$2:$D$150, "No Encontrado", 0)</f>
        <v>17.23</v>
      </c>
      <c r="I1813">
        <f t="shared" si="28"/>
        <v>51.69</v>
      </c>
    </row>
    <row r="1814" spans="1:9" x14ac:dyDescent="0.25">
      <c r="A1814">
        <v>1850</v>
      </c>
      <c r="B1814" s="1">
        <v>45502</v>
      </c>
      <c r="C1814">
        <v>301</v>
      </c>
      <c r="D1814">
        <v>15</v>
      </c>
      <c r="E1814">
        <v>4</v>
      </c>
      <c r="F1814">
        <v>4</v>
      </c>
      <c r="G1814" t="s">
        <v>1044</v>
      </c>
      <c r="H1814">
        <f>_xlfn.XLOOKUP(D1814, productos!$A$2:$A$150, productos!$D$2:$D$150, "No Encontrado", 0)</f>
        <v>3.51</v>
      </c>
      <c r="I1814">
        <f t="shared" si="28"/>
        <v>14.04</v>
      </c>
    </row>
    <row r="1815" spans="1:9" x14ac:dyDescent="0.25">
      <c r="A1815">
        <v>2994</v>
      </c>
      <c r="B1815" s="1">
        <v>45502</v>
      </c>
      <c r="C1815">
        <v>162</v>
      </c>
      <c r="D1815">
        <v>17</v>
      </c>
      <c r="E1815">
        <v>3</v>
      </c>
      <c r="F1815">
        <v>3</v>
      </c>
      <c r="G1815" t="s">
        <v>1044</v>
      </c>
      <c r="H1815">
        <f>_xlfn.XLOOKUP(D1815, productos!$A$2:$A$150, productos!$D$2:$D$150, "No Encontrado", 0)</f>
        <v>6.54</v>
      </c>
      <c r="I1815">
        <f t="shared" si="28"/>
        <v>19.62</v>
      </c>
    </row>
    <row r="1816" spans="1:9" x14ac:dyDescent="0.25">
      <c r="A1816">
        <v>381</v>
      </c>
      <c r="B1816" s="1">
        <v>45503</v>
      </c>
      <c r="C1816">
        <v>140</v>
      </c>
      <c r="D1816">
        <v>29</v>
      </c>
      <c r="E1816">
        <v>4</v>
      </c>
      <c r="F1816">
        <v>2</v>
      </c>
      <c r="G1816" t="s">
        <v>1044</v>
      </c>
      <c r="H1816">
        <f>_xlfn.XLOOKUP(D1816, productos!$A$2:$A$150, productos!$D$2:$D$150, "No Encontrado", 0)</f>
        <v>11.54</v>
      </c>
      <c r="I1816">
        <f t="shared" si="28"/>
        <v>46.16</v>
      </c>
    </row>
    <row r="1817" spans="1:9" x14ac:dyDescent="0.25">
      <c r="A1817">
        <v>906</v>
      </c>
      <c r="B1817" s="1">
        <v>45503</v>
      </c>
      <c r="C1817">
        <v>179</v>
      </c>
      <c r="D1817">
        <v>13</v>
      </c>
      <c r="E1817">
        <v>1</v>
      </c>
      <c r="F1817">
        <v>5</v>
      </c>
      <c r="G1817" t="s">
        <v>1044</v>
      </c>
      <c r="H1817">
        <f>_xlfn.XLOOKUP(D1817, productos!$A$2:$A$150, productos!$D$2:$D$150, "No Encontrado", 0)</f>
        <v>12.56</v>
      </c>
      <c r="I1817">
        <f t="shared" si="28"/>
        <v>12.56</v>
      </c>
    </row>
    <row r="1818" spans="1:9" x14ac:dyDescent="0.25">
      <c r="A1818">
        <v>930</v>
      </c>
      <c r="B1818" s="1">
        <v>45503</v>
      </c>
      <c r="C1818">
        <v>91</v>
      </c>
      <c r="D1818">
        <v>7</v>
      </c>
      <c r="E1818">
        <v>6</v>
      </c>
      <c r="F1818">
        <v>4</v>
      </c>
      <c r="G1818" t="s">
        <v>1044</v>
      </c>
      <c r="H1818">
        <f>_xlfn.XLOOKUP(D1818, productos!$A$2:$A$150, productos!$D$2:$D$150, "No Encontrado", 0)</f>
        <v>11.25</v>
      </c>
      <c r="I1818">
        <f t="shared" si="28"/>
        <v>67.5</v>
      </c>
    </row>
    <row r="1819" spans="1:9" x14ac:dyDescent="0.25">
      <c r="A1819">
        <v>1106</v>
      </c>
      <c r="B1819" s="1">
        <v>45503</v>
      </c>
      <c r="C1819">
        <v>153</v>
      </c>
      <c r="D1819">
        <v>2</v>
      </c>
      <c r="E1819">
        <v>1</v>
      </c>
      <c r="F1819">
        <v>4</v>
      </c>
      <c r="G1819" t="s">
        <v>1045</v>
      </c>
      <c r="H1819">
        <f>_xlfn.XLOOKUP(D1819, productos!$A$2:$A$150, productos!$D$2:$D$150, "No Encontrado", 0)</f>
        <v>5.21</v>
      </c>
      <c r="I1819">
        <f t="shared" si="28"/>
        <v>5.21</v>
      </c>
    </row>
    <row r="1820" spans="1:9" x14ac:dyDescent="0.25">
      <c r="A1820">
        <v>1196</v>
      </c>
      <c r="B1820" s="1">
        <v>45503</v>
      </c>
      <c r="C1820">
        <v>239</v>
      </c>
      <c r="D1820">
        <v>32</v>
      </c>
      <c r="E1820">
        <v>2</v>
      </c>
      <c r="F1820">
        <v>1</v>
      </c>
      <c r="G1820" t="s">
        <v>1044</v>
      </c>
      <c r="H1820">
        <f>_xlfn.XLOOKUP(D1820, productos!$A$2:$A$150, productos!$D$2:$D$150, "No Encontrado", 0)</f>
        <v>6.25</v>
      </c>
      <c r="I1820">
        <f t="shared" si="28"/>
        <v>12.5</v>
      </c>
    </row>
    <row r="1821" spans="1:9" x14ac:dyDescent="0.25">
      <c r="A1821">
        <v>1520</v>
      </c>
      <c r="B1821" s="1">
        <v>45503</v>
      </c>
      <c r="C1821">
        <v>209</v>
      </c>
      <c r="D1821">
        <v>1</v>
      </c>
      <c r="E1821">
        <v>4</v>
      </c>
      <c r="F1821">
        <v>5</v>
      </c>
      <c r="G1821" t="s">
        <v>1044</v>
      </c>
      <c r="H1821">
        <f>_xlfn.XLOOKUP(D1821, productos!$A$2:$A$150, productos!$D$2:$D$150, "No Encontrado", 0)</f>
        <v>12.24</v>
      </c>
      <c r="I1821">
        <f t="shared" si="28"/>
        <v>48.96</v>
      </c>
    </row>
    <row r="1822" spans="1:9" x14ac:dyDescent="0.25">
      <c r="A1822">
        <v>1617</v>
      </c>
      <c r="B1822" s="1">
        <v>45503</v>
      </c>
      <c r="C1822">
        <v>162</v>
      </c>
      <c r="D1822">
        <v>32</v>
      </c>
      <c r="E1822">
        <v>1</v>
      </c>
      <c r="F1822">
        <v>4</v>
      </c>
      <c r="G1822" t="s">
        <v>1044</v>
      </c>
      <c r="H1822">
        <f>_xlfn.XLOOKUP(D1822, productos!$A$2:$A$150, productos!$D$2:$D$150, "No Encontrado", 0)</f>
        <v>6.25</v>
      </c>
      <c r="I1822">
        <f t="shared" si="28"/>
        <v>6.25</v>
      </c>
    </row>
    <row r="1823" spans="1:9" x14ac:dyDescent="0.25">
      <c r="A1823">
        <v>1672</v>
      </c>
      <c r="B1823" s="1">
        <v>45503</v>
      </c>
      <c r="C1823">
        <v>188</v>
      </c>
      <c r="D1823">
        <v>8</v>
      </c>
      <c r="E1823">
        <v>5</v>
      </c>
      <c r="F1823">
        <v>5</v>
      </c>
      <c r="G1823" t="s">
        <v>1044</v>
      </c>
      <c r="H1823">
        <f>_xlfn.XLOOKUP(D1823, productos!$A$2:$A$150, productos!$D$2:$D$150, "No Encontrado", 0)</f>
        <v>16.21</v>
      </c>
      <c r="I1823">
        <f t="shared" si="28"/>
        <v>81.050000000000011</v>
      </c>
    </row>
    <row r="1824" spans="1:9" x14ac:dyDescent="0.25">
      <c r="A1824">
        <v>1938</v>
      </c>
      <c r="B1824" s="1">
        <v>45503</v>
      </c>
      <c r="C1824">
        <v>125</v>
      </c>
      <c r="D1824">
        <v>16</v>
      </c>
      <c r="E1824">
        <v>3</v>
      </c>
      <c r="F1824">
        <v>4</v>
      </c>
      <c r="G1824" t="s">
        <v>1044</v>
      </c>
      <c r="H1824">
        <f>_xlfn.XLOOKUP(D1824, productos!$A$2:$A$150, productos!$D$2:$D$150, "No Encontrado", 0)</f>
        <v>15.23</v>
      </c>
      <c r="I1824">
        <f t="shared" si="28"/>
        <v>45.69</v>
      </c>
    </row>
    <row r="1825" spans="1:9" x14ac:dyDescent="0.25">
      <c r="A1825">
        <v>2423</v>
      </c>
      <c r="B1825" s="1">
        <v>45503</v>
      </c>
      <c r="C1825">
        <v>157</v>
      </c>
      <c r="D1825">
        <v>1</v>
      </c>
      <c r="E1825">
        <v>5</v>
      </c>
      <c r="F1825">
        <v>3</v>
      </c>
      <c r="G1825" t="s">
        <v>1044</v>
      </c>
      <c r="H1825">
        <f>_xlfn.XLOOKUP(D1825, productos!$A$2:$A$150, productos!$D$2:$D$150, "No Encontrado", 0)</f>
        <v>12.24</v>
      </c>
      <c r="I1825">
        <f t="shared" si="28"/>
        <v>61.2</v>
      </c>
    </row>
    <row r="1826" spans="1:9" x14ac:dyDescent="0.25">
      <c r="A1826">
        <v>2656</v>
      </c>
      <c r="B1826" s="1">
        <v>45503</v>
      </c>
      <c r="C1826">
        <v>207</v>
      </c>
      <c r="D1826">
        <v>14</v>
      </c>
      <c r="E1826">
        <v>4</v>
      </c>
      <c r="F1826">
        <v>5</v>
      </c>
      <c r="G1826" t="s">
        <v>1044</v>
      </c>
      <c r="H1826">
        <f>_xlfn.XLOOKUP(D1826, productos!$A$2:$A$150, productos!$D$2:$D$150, "No Encontrado", 0)</f>
        <v>12.36</v>
      </c>
      <c r="I1826">
        <f t="shared" si="28"/>
        <v>49.44</v>
      </c>
    </row>
    <row r="1827" spans="1:9" x14ac:dyDescent="0.25">
      <c r="A1827">
        <v>2846</v>
      </c>
      <c r="B1827" s="1">
        <v>45503</v>
      </c>
      <c r="C1827">
        <v>200</v>
      </c>
      <c r="D1827">
        <v>15</v>
      </c>
      <c r="E1827">
        <v>4</v>
      </c>
      <c r="F1827">
        <v>5</v>
      </c>
      <c r="G1827" t="s">
        <v>1044</v>
      </c>
      <c r="H1827">
        <f>_xlfn.XLOOKUP(D1827, productos!$A$2:$A$150, productos!$D$2:$D$150, "No Encontrado", 0)</f>
        <v>3.51</v>
      </c>
      <c r="I1827">
        <f t="shared" si="28"/>
        <v>14.04</v>
      </c>
    </row>
    <row r="1828" spans="1:9" x14ac:dyDescent="0.25">
      <c r="A1828">
        <v>2849</v>
      </c>
      <c r="B1828" s="1">
        <v>45503</v>
      </c>
      <c r="C1828">
        <v>153</v>
      </c>
      <c r="D1828">
        <v>26</v>
      </c>
      <c r="E1828">
        <v>2</v>
      </c>
      <c r="F1828">
        <v>4</v>
      </c>
      <c r="G1828" t="s">
        <v>1044</v>
      </c>
      <c r="H1828">
        <f>_xlfn.XLOOKUP(D1828, productos!$A$2:$A$150, productos!$D$2:$D$150, "No Encontrado", 0)</f>
        <v>9.5399999999999991</v>
      </c>
      <c r="I1828">
        <f t="shared" si="28"/>
        <v>19.079999999999998</v>
      </c>
    </row>
    <row r="1829" spans="1:9" x14ac:dyDescent="0.25">
      <c r="A1829">
        <v>1279</v>
      </c>
      <c r="B1829" s="1">
        <v>45504</v>
      </c>
      <c r="C1829">
        <v>302</v>
      </c>
      <c r="D1829">
        <v>33</v>
      </c>
      <c r="E1829">
        <v>4</v>
      </c>
      <c r="F1829">
        <v>1</v>
      </c>
      <c r="G1829" t="s">
        <v>1044</v>
      </c>
      <c r="H1829">
        <f>_xlfn.XLOOKUP(D1829, productos!$A$2:$A$150, productos!$D$2:$D$150, "No Encontrado", 0)</f>
        <v>8.5399999999999991</v>
      </c>
      <c r="I1829">
        <f t="shared" si="28"/>
        <v>34.159999999999997</v>
      </c>
    </row>
    <row r="1830" spans="1:9" x14ac:dyDescent="0.25">
      <c r="A1830">
        <v>1297</v>
      </c>
      <c r="B1830" s="1">
        <v>45504</v>
      </c>
      <c r="C1830">
        <v>32</v>
      </c>
      <c r="D1830">
        <v>24</v>
      </c>
      <c r="E1830">
        <v>2</v>
      </c>
      <c r="F1830">
        <v>1</v>
      </c>
      <c r="G1830" t="s">
        <v>1044</v>
      </c>
      <c r="H1830">
        <f>_xlfn.XLOOKUP(D1830, productos!$A$2:$A$150, productos!$D$2:$D$150, "No Encontrado", 0)</f>
        <v>13.54</v>
      </c>
      <c r="I1830">
        <f t="shared" si="28"/>
        <v>27.08</v>
      </c>
    </row>
    <row r="1831" spans="1:9" x14ac:dyDescent="0.25">
      <c r="A1831">
        <v>1316</v>
      </c>
      <c r="B1831" s="1">
        <v>45504</v>
      </c>
      <c r="C1831">
        <v>251</v>
      </c>
      <c r="D1831">
        <v>2</v>
      </c>
      <c r="E1831">
        <v>3</v>
      </c>
      <c r="F1831">
        <v>4</v>
      </c>
      <c r="G1831" t="s">
        <v>1045</v>
      </c>
      <c r="H1831">
        <f>_xlfn.XLOOKUP(D1831, productos!$A$2:$A$150, productos!$D$2:$D$150, "No Encontrado", 0)</f>
        <v>5.21</v>
      </c>
      <c r="I1831">
        <f t="shared" si="28"/>
        <v>15.629999999999999</v>
      </c>
    </row>
    <row r="1832" spans="1:9" x14ac:dyDescent="0.25">
      <c r="A1832">
        <v>1352</v>
      </c>
      <c r="B1832" s="1">
        <v>45504</v>
      </c>
      <c r="C1832">
        <v>205</v>
      </c>
      <c r="D1832">
        <v>7</v>
      </c>
      <c r="E1832">
        <v>6</v>
      </c>
      <c r="F1832">
        <v>4</v>
      </c>
      <c r="G1832" t="s">
        <v>1045</v>
      </c>
      <c r="H1832">
        <f>_xlfn.XLOOKUP(D1832, productos!$A$2:$A$150, productos!$D$2:$D$150, "No Encontrado", 0)</f>
        <v>11.25</v>
      </c>
      <c r="I1832">
        <f t="shared" si="28"/>
        <v>67.5</v>
      </c>
    </row>
    <row r="1833" spans="1:9" x14ac:dyDescent="0.25">
      <c r="A1833">
        <v>631</v>
      </c>
      <c r="B1833" s="1">
        <v>45505</v>
      </c>
      <c r="C1833">
        <v>120</v>
      </c>
      <c r="D1833">
        <v>20</v>
      </c>
      <c r="E1833">
        <v>1</v>
      </c>
      <c r="F1833">
        <v>1</v>
      </c>
      <c r="G1833" t="s">
        <v>1044</v>
      </c>
      <c r="H1833">
        <f>_xlfn.XLOOKUP(D1833, productos!$A$2:$A$150, productos!$D$2:$D$150, "No Encontrado", 0)</f>
        <v>4.25</v>
      </c>
      <c r="I1833">
        <f t="shared" si="28"/>
        <v>4.25</v>
      </c>
    </row>
    <row r="1834" spans="1:9" x14ac:dyDescent="0.25">
      <c r="A1834">
        <v>929</v>
      </c>
      <c r="B1834" s="1">
        <v>45505</v>
      </c>
      <c r="C1834">
        <v>164</v>
      </c>
      <c r="D1834">
        <v>31</v>
      </c>
      <c r="E1834">
        <v>5</v>
      </c>
      <c r="F1834">
        <v>3</v>
      </c>
      <c r="G1834" t="s">
        <v>1045</v>
      </c>
      <c r="H1834">
        <f>_xlfn.XLOOKUP(D1834, productos!$A$2:$A$150, productos!$D$2:$D$150, "No Encontrado", 0)</f>
        <v>5.24</v>
      </c>
      <c r="I1834">
        <f t="shared" si="28"/>
        <v>26.200000000000003</v>
      </c>
    </row>
    <row r="1835" spans="1:9" x14ac:dyDescent="0.25">
      <c r="A1835">
        <v>1090</v>
      </c>
      <c r="B1835" s="1">
        <v>45505</v>
      </c>
      <c r="C1835">
        <v>43</v>
      </c>
      <c r="D1835">
        <v>3</v>
      </c>
      <c r="E1835">
        <v>3</v>
      </c>
      <c r="F1835">
        <v>4</v>
      </c>
      <c r="G1835" t="s">
        <v>1045</v>
      </c>
      <c r="H1835">
        <f>_xlfn.XLOOKUP(D1835, productos!$A$2:$A$150, productos!$D$2:$D$150, "No Encontrado", 0)</f>
        <v>17.23</v>
      </c>
      <c r="I1835">
        <f t="shared" si="28"/>
        <v>51.69</v>
      </c>
    </row>
    <row r="1836" spans="1:9" x14ac:dyDescent="0.25">
      <c r="A1836">
        <v>1973</v>
      </c>
      <c r="B1836" s="1">
        <v>45505</v>
      </c>
      <c r="C1836">
        <v>80</v>
      </c>
      <c r="D1836">
        <v>20</v>
      </c>
      <c r="E1836">
        <v>3</v>
      </c>
      <c r="F1836">
        <v>3</v>
      </c>
      <c r="G1836" t="s">
        <v>1044</v>
      </c>
      <c r="H1836">
        <f>_xlfn.XLOOKUP(D1836, productos!$A$2:$A$150, productos!$D$2:$D$150, "No Encontrado", 0)</f>
        <v>4.25</v>
      </c>
      <c r="I1836">
        <f t="shared" si="28"/>
        <v>12.75</v>
      </c>
    </row>
    <row r="1837" spans="1:9" x14ac:dyDescent="0.25">
      <c r="A1837">
        <v>2118</v>
      </c>
      <c r="B1837" s="1">
        <v>45505</v>
      </c>
      <c r="C1837">
        <v>199</v>
      </c>
      <c r="D1837">
        <v>7</v>
      </c>
      <c r="E1837">
        <v>2</v>
      </c>
      <c r="F1837">
        <v>5</v>
      </c>
      <c r="G1837" t="s">
        <v>1044</v>
      </c>
      <c r="H1837">
        <f>_xlfn.XLOOKUP(D1837, productos!$A$2:$A$150, productos!$D$2:$D$150, "No Encontrado", 0)</f>
        <v>11.25</v>
      </c>
      <c r="I1837">
        <f t="shared" si="28"/>
        <v>22.5</v>
      </c>
    </row>
    <row r="1838" spans="1:9" x14ac:dyDescent="0.25">
      <c r="A1838">
        <v>2210</v>
      </c>
      <c r="B1838" s="1">
        <v>45505</v>
      </c>
      <c r="C1838">
        <v>140</v>
      </c>
      <c r="D1838">
        <v>5</v>
      </c>
      <c r="E1838">
        <v>2</v>
      </c>
      <c r="F1838">
        <v>3</v>
      </c>
      <c r="G1838" t="s">
        <v>1044</v>
      </c>
      <c r="H1838">
        <f>_xlfn.XLOOKUP(D1838, productos!$A$2:$A$150, productos!$D$2:$D$150, "No Encontrado", 0)</f>
        <v>5.65</v>
      </c>
      <c r="I1838">
        <f t="shared" si="28"/>
        <v>11.3</v>
      </c>
    </row>
    <row r="1839" spans="1:9" x14ac:dyDescent="0.25">
      <c r="A1839">
        <v>2285</v>
      </c>
      <c r="B1839" s="1">
        <v>45505</v>
      </c>
      <c r="C1839">
        <v>78</v>
      </c>
      <c r="D1839">
        <v>4</v>
      </c>
      <c r="E1839">
        <v>3</v>
      </c>
      <c r="F1839">
        <v>4</v>
      </c>
      <c r="G1839" t="s">
        <v>1045</v>
      </c>
      <c r="H1839">
        <f>_xlfn.XLOOKUP(D1839, productos!$A$2:$A$150, productos!$D$2:$D$150, "No Encontrado", 0)</f>
        <v>19.23</v>
      </c>
      <c r="I1839">
        <f t="shared" si="28"/>
        <v>57.69</v>
      </c>
    </row>
    <row r="1840" spans="1:9" x14ac:dyDescent="0.25">
      <c r="A1840">
        <v>2408</v>
      </c>
      <c r="B1840" s="1">
        <v>45505</v>
      </c>
      <c r="C1840">
        <v>89</v>
      </c>
      <c r="D1840">
        <v>15</v>
      </c>
      <c r="E1840">
        <v>1</v>
      </c>
      <c r="F1840">
        <v>5</v>
      </c>
      <c r="G1840" t="s">
        <v>1044</v>
      </c>
      <c r="H1840">
        <f>_xlfn.XLOOKUP(D1840, productos!$A$2:$A$150, productos!$D$2:$D$150, "No Encontrado", 0)</f>
        <v>3.51</v>
      </c>
      <c r="I1840">
        <f t="shared" si="28"/>
        <v>3.51</v>
      </c>
    </row>
    <row r="1841" spans="1:9" x14ac:dyDescent="0.25">
      <c r="A1841">
        <v>2502</v>
      </c>
      <c r="B1841" s="1">
        <v>45505</v>
      </c>
      <c r="C1841">
        <v>326</v>
      </c>
      <c r="D1841">
        <v>31</v>
      </c>
      <c r="E1841">
        <v>5</v>
      </c>
      <c r="F1841">
        <v>1</v>
      </c>
      <c r="G1841" t="s">
        <v>1044</v>
      </c>
      <c r="H1841">
        <f>_xlfn.XLOOKUP(D1841, productos!$A$2:$A$150, productos!$D$2:$D$150, "No Encontrado", 0)</f>
        <v>5.24</v>
      </c>
      <c r="I1841">
        <f t="shared" si="28"/>
        <v>26.200000000000003</v>
      </c>
    </row>
    <row r="1842" spans="1:9" x14ac:dyDescent="0.25">
      <c r="A1842">
        <v>333</v>
      </c>
      <c r="B1842" s="1">
        <v>45506</v>
      </c>
      <c r="C1842">
        <v>26</v>
      </c>
      <c r="D1842">
        <v>35</v>
      </c>
      <c r="E1842">
        <v>1</v>
      </c>
      <c r="F1842">
        <v>1</v>
      </c>
      <c r="G1842" t="s">
        <v>1044</v>
      </c>
      <c r="H1842">
        <f>_xlfn.XLOOKUP(D1842, productos!$A$2:$A$150, productos!$D$2:$D$150, "No Encontrado", 0)</f>
        <v>4.25</v>
      </c>
      <c r="I1842">
        <f t="shared" si="28"/>
        <v>4.25</v>
      </c>
    </row>
    <row r="1843" spans="1:9" x14ac:dyDescent="0.25">
      <c r="A1843">
        <v>336</v>
      </c>
      <c r="B1843" s="1">
        <v>45506</v>
      </c>
      <c r="C1843">
        <v>80</v>
      </c>
      <c r="D1843">
        <v>20</v>
      </c>
      <c r="E1843">
        <v>6</v>
      </c>
      <c r="F1843">
        <v>5</v>
      </c>
      <c r="G1843" t="s">
        <v>1044</v>
      </c>
      <c r="H1843">
        <f>_xlfn.XLOOKUP(D1843, productos!$A$2:$A$150, productos!$D$2:$D$150, "No Encontrado", 0)</f>
        <v>4.25</v>
      </c>
      <c r="I1843">
        <f t="shared" si="28"/>
        <v>25.5</v>
      </c>
    </row>
    <row r="1844" spans="1:9" x14ac:dyDescent="0.25">
      <c r="A1844">
        <v>356</v>
      </c>
      <c r="B1844" s="1">
        <v>45506</v>
      </c>
      <c r="C1844">
        <v>278</v>
      </c>
      <c r="D1844">
        <v>2</v>
      </c>
      <c r="E1844">
        <v>6</v>
      </c>
      <c r="F1844">
        <v>4</v>
      </c>
      <c r="G1844" t="s">
        <v>1044</v>
      </c>
      <c r="H1844">
        <f>_xlfn.XLOOKUP(D1844, productos!$A$2:$A$150, productos!$D$2:$D$150, "No Encontrado", 0)</f>
        <v>5.21</v>
      </c>
      <c r="I1844">
        <f t="shared" si="28"/>
        <v>31.259999999999998</v>
      </c>
    </row>
    <row r="1845" spans="1:9" x14ac:dyDescent="0.25">
      <c r="A1845">
        <v>550</v>
      </c>
      <c r="B1845" s="1">
        <v>45506</v>
      </c>
      <c r="C1845">
        <v>221</v>
      </c>
      <c r="D1845">
        <v>4</v>
      </c>
      <c r="E1845">
        <v>5</v>
      </c>
      <c r="F1845">
        <v>1</v>
      </c>
      <c r="G1845" t="s">
        <v>1044</v>
      </c>
      <c r="H1845">
        <f>_xlfn.XLOOKUP(D1845, productos!$A$2:$A$150, productos!$D$2:$D$150, "No Encontrado", 0)</f>
        <v>19.23</v>
      </c>
      <c r="I1845">
        <f t="shared" si="28"/>
        <v>96.15</v>
      </c>
    </row>
    <row r="1846" spans="1:9" x14ac:dyDescent="0.25">
      <c r="A1846">
        <v>1377</v>
      </c>
      <c r="B1846" s="1">
        <v>45506</v>
      </c>
      <c r="C1846">
        <v>85</v>
      </c>
      <c r="D1846">
        <v>31</v>
      </c>
      <c r="E1846">
        <v>6</v>
      </c>
      <c r="F1846">
        <v>1</v>
      </c>
      <c r="G1846" t="s">
        <v>1045</v>
      </c>
      <c r="H1846">
        <f>_xlfn.XLOOKUP(D1846, productos!$A$2:$A$150, productos!$D$2:$D$150, "No Encontrado", 0)</f>
        <v>5.24</v>
      </c>
      <c r="I1846">
        <f t="shared" si="28"/>
        <v>31.44</v>
      </c>
    </row>
    <row r="1847" spans="1:9" x14ac:dyDescent="0.25">
      <c r="A1847">
        <v>1407</v>
      </c>
      <c r="B1847" s="1">
        <v>45506</v>
      </c>
      <c r="C1847">
        <v>242</v>
      </c>
      <c r="D1847">
        <v>6</v>
      </c>
      <c r="E1847">
        <v>4</v>
      </c>
      <c r="F1847">
        <v>4</v>
      </c>
      <c r="G1847" t="s">
        <v>1044</v>
      </c>
      <c r="H1847">
        <f>_xlfn.XLOOKUP(D1847, productos!$A$2:$A$150, productos!$D$2:$D$150, "No Encontrado", 0)</f>
        <v>28.56</v>
      </c>
      <c r="I1847">
        <f t="shared" si="28"/>
        <v>114.24</v>
      </c>
    </row>
    <row r="1848" spans="1:9" x14ac:dyDescent="0.25">
      <c r="A1848">
        <v>1496</v>
      </c>
      <c r="B1848" s="1">
        <v>45506</v>
      </c>
      <c r="C1848">
        <v>213</v>
      </c>
      <c r="D1848">
        <v>9</v>
      </c>
      <c r="E1848">
        <v>5</v>
      </c>
      <c r="F1848">
        <v>5</v>
      </c>
      <c r="G1848" t="s">
        <v>1045</v>
      </c>
      <c r="H1848">
        <f>_xlfn.XLOOKUP(D1848, productos!$A$2:$A$150, productos!$D$2:$D$150, "No Encontrado", 0)</f>
        <v>18.559999999999999</v>
      </c>
      <c r="I1848">
        <f t="shared" si="28"/>
        <v>92.8</v>
      </c>
    </row>
    <row r="1849" spans="1:9" x14ac:dyDescent="0.25">
      <c r="A1849">
        <v>1522</v>
      </c>
      <c r="B1849" s="1">
        <v>45506</v>
      </c>
      <c r="C1849">
        <v>167</v>
      </c>
      <c r="D1849">
        <v>6</v>
      </c>
      <c r="E1849">
        <v>6</v>
      </c>
      <c r="F1849">
        <v>2</v>
      </c>
      <c r="G1849" t="s">
        <v>1044</v>
      </c>
      <c r="H1849">
        <f>_xlfn.XLOOKUP(D1849, productos!$A$2:$A$150, productos!$D$2:$D$150, "No Encontrado", 0)</f>
        <v>28.56</v>
      </c>
      <c r="I1849">
        <f t="shared" si="28"/>
        <v>171.35999999999999</v>
      </c>
    </row>
    <row r="1850" spans="1:9" x14ac:dyDescent="0.25">
      <c r="A1850">
        <v>1955</v>
      </c>
      <c r="B1850" s="1">
        <v>45506</v>
      </c>
      <c r="C1850">
        <v>78</v>
      </c>
      <c r="D1850">
        <v>30</v>
      </c>
      <c r="E1850">
        <v>6</v>
      </c>
      <c r="F1850">
        <v>4</v>
      </c>
      <c r="G1850" t="s">
        <v>1044</v>
      </c>
      <c r="H1850">
        <f>_xlfn.XLOOKUP(D1850, productos!$A$2:$A$150, productos!$D$2:$D$150, "No Encontrado", 0)</f>
        <v>13.54</v>
      </c>
      <c r="I1850">
        <f t="shared" si="28"/>
        <v>81.239999999999995</v>
      </c>
    </row>
    <row r="1851" spans="1:9" x14ac:dyDescent="0.25">
      <c r="A1851">
        <v>2361</v>
      </c>
      <c r="B1851" s="1">
        <v>45506</v>
      </c>
      <c r="C1851">
        <v>164</v>
      </c>
      <c r="D1851">
        <v>21</v>
      </c>
      <c r="E1851">
        <v>5</v>
      </c>
      <c r="F1851">
        <v>5</v>
      </c>
      <c r="G1851" t="s">
        <v>1045</v>
      </c>
      <c r="H1851">
        <f>_xlfn.XLOOKUP(D1851, productos!$A$2:$A$150, productos!$D$2:$D$150, "No Encontrado", 0)</f>
        <v>3.25</v>
      </c>
      <c r="I1851">
        <f t="shared" si="28"/>
        <v>16.25</v>
      </c>
    </row>
    <row r="1852" spans="1:9" x14ac:dyDescent="0.25">
      <c r="A1852">
        <v>1895</v>
      </c>
      <c r="B1852" s="1">
        <v>45507</v>
      </c>
      <c r="C1852">
        <v>125</v>
      </c>
      <c r="D1852">
        <v>13</v>
      </c>
      <c r="E1852">
        <v>4</v>
      </c>
      <c r="F1852">
        <v>5</v>
      </c>
      <c r="G1852" t="s">
        <v>1044</v>
      </c>
      <c r="H1852">
        <f>_xlfn.XLOOKUP(D1852, productos!$A$2:$A$150, productos!$D$2:$D$150, "No Encontrado", 0)</f>
        <v>12.56</v>
      </c>
      <c r="I1852">
        <f t="shared" si="28"/>
        <v>50.24</v>
      </c>
    </row>
    <row r="1853" spans="1:9" x14ac:dyDescent="0.25">
      <c r="A1853">
        <v>1937</v>
      </c>
      <c r="B1853" s="1">
        <v>45507</v>
      </c>
      <c r="C1853">
        <v>326</v>
      </c>
      <c r="D1853">
        <v>25</v>
      </c>
      <c r="E1853">
        <v>1</v>
      </c>
      <c r="F1853">
        <v>1</v>
      </c>
      <c r="G1853" t="s">
        <v>1044</v>
      </c>
      <c r="H1853">
        <f>_xlfn.XLOOKUP(D1853, productos!$A$2:$A$150, productos!$D$2:$D$150, "No Encontrado", 0)</f>
        <v>15.45</v>
      </c>
      <c r="I1853">
        <f t="shared" si="28"/>
        <v>15.45</v>
      </c>
    </row>
    <row r="1854" spans="1:9" x14ac:dyDescent="0.25">
      <c r="A1854">
        <v>2046</v>
      </c>
      <c r="B1854" s="1">
        <v>45507</v>
      </c>
      <c r="C1854">
        <v>13</v>
      </c>
      <c r="D1854">
        <v>22</v>
      </c>
      <c r="E1854">
        <v>1</v>
      </c>
      <c r="F1854">
        <v>5</v>
      </c>
      <c r="G1854" t="s">
        <v>1044</v>
      </c>
      <c r="H1854">
        <f>_xlfn.XLOOKUP(D1854, productos!$A$2:$A$150, productos!$D$2:$D$150, "No Encontrado", 0)</f>
        <v>4.21</v>
      </c>
      <c r="I1854">
        <f t="shared" si="28"/>
        <v>4.21</v>
      </c>
    </row>
    <row r="1855" spans="1:9" x14ac:dyDescent="0.25">
      <c r="A1855">
        <v>2152</v>
      </c>
      <c r="B1855" s="1">
        <v>45507</v>
      </c>
      <c r="C1855">
        <v>153</v>
      </c>
      <c r="D1855">
        <v>25</v>
      </c>
      <c r="E1855">
        <v>2</v>
      </c>
      <c r="F1855">
        <v>2</v>
      </c>
      <c r="G1855" t="s">
        <v>1045</v>
      </c>
      <c r="H1855">
        <f>_xlfn.XLOOKUP(D1855, productos!$A$2:$A$150, productos!$D$2:$D$150, "No Encontrado", 0)</f>
        <v>15.45</v>
      </c>
      <c r="I1855">
        <f t="shared" si="28"/>
        <v>30.9</v>
      </c>
    </row>
    <row r="1856" spans="1:9" x14ac:dyDescent="0.25">
      <c r="A1856">
        <v>2265</v>
      </c>
      <c r="B1856" s="1">
        <v>45507</v>
      </c>
      <c r="C1856">
        <v>37</v>
      </c>
      <c r="D1856">
        <v>26</v>
      </c>
      <c r="E1856">
        <v>5</v>
      </c>
      <c r="F1856">
        <v>4</v>
      </c>
      <c r="G1856" t="s">
        <v>1044</v>
      </c>
      <c r="H1856">
        <f>_xlfn.XLOOKUP(D1856, productos!$A$2:$A$150, productos!$D$2:$D$150, "No Encontrado", 0)</f>
        <v>9.5399999999999991</v>
      </c>
      <c r="I1856">
        <f t="shared" si="28"/>
        <v>47.699999999999996</v>
      </c>
    </row>
    <row r="1857" spans="1:9" x14ac:dyDescent="0.25">
      <c r="A1857">
        <v>1557</v>
      </c>
      <c r="B1857" s="1">
        <v>45508</v>
      </c>
      <c r="C1857">
        <v>165</v>
      </c>
      <c r="D1857">
        <v>37</v>
      </c>
      <c r="E1857">
        <v>5</v>
      </c>
      <c r="F1857">
        <v>1</v>
      </c>
      <c r="G1857" t="s">
        <v>1044</v>
      </c>
      <c r="H1857">
        <f>_xlfn.XLOOKUP(D1857, productos!$A$2:$A$150, productos!$D$2:$D$150, "No Encontrado", 0)</f>
        <v>3.65</v>
      </c>
      <c r="I1857">
        <f t="shared" si="28"/>
        <v>18.25</v>
      </c>
    </row>
    <row r="1858" spans="1:9" x14ac:dyDescent="0.25">
      <c r="A1858">
        <v>1786</v>
      </c>
      <c r="B1858" s="1">
        <v>45508</v>
      </c>
      <c r="C1858">
        <v>209</v>
      </c>
      <c r="D1858">
        <v>33</v>
      </c>
      <c r="E1858">
        <v>4</v>
      </c>
      <c r="F1858">
        <v>4</v>
      </c>
      <c r="G1858" t="s">
        <v>1044</v>
      </c>
      <c r="H1858">
        <f>_xlfn.XLOOKUP(D1858, productos!$A$2:$A$150, productos!$D$2:$D$150, "No Encontrado", 0)</f>
        <v>8.5399999999999991</v>
      </c>
      <c r="I1858">
        <f t="shared" si="28"/>
        <v>34.159999999999997</v>
      </c>
    </row>
    <row r="1859" spans="1:9" x14ac:dyDescent="0.25">
      <c r="A1859">
        <v>2234</v>
      </c>
      <c r="B1859" s="1">
        <v>45508</v>
      </c>
      <c r="C1859">
        <v>278</v>
      </c>
      <c r="D1859">
        <v>27</v>
      </c>
      <c r="E1859">
        <v>2</v>
      </c>
      <c r="F1859">
        <v>4</v>
      </c>
      <c r="G1859" t="s">
        <v>1044</v>
      </c>
      <c r="H1859">
        <f>_xlfn.XLOOKUP(D1859, productos!$A$2:$A$150, productos!$D$2:$D$150, "No Encontrado", 0)</f>
        <v>6.21</v>
      </c>
      <c r="I1859">
        <f t="shared" ref="I1859:I1922" si="29">E1859*H1859</f>
        <v>12.42</v>
      </c>
    </row>
    <row r="1860" spans="1:9" x14ac:dyDescent="0.25">
      <c r="A1860">
        <v>486</v>
      </c>
      <c r="B1860" s="1">
        <v>45509</v>
      </c>
      <c r="C1860">
        <v>151</v>
      </c>
      <c r="D1860">
        <v>35</v>
      </c>
      <c r="E1860">
        <v>3</v>
      </c>
      <c r="F1860">
        <v>5</v>
      </c>
      <c r="G1860" t="s">
        <v>1044</v>
      </c>
      <c r="H1860">
        <f>_xlfn.XLOOKUP(D1860, productos!$A$2:$A$150, productos!$D$2:$D$150, "No Encontrado", 0)</f>
        <v>4.25</v>
      </c>
      <c r="I1860">
        <f t="shared" si="29"/>
        <v>12.75</v>
      </c>
    </row>
    <row r="1861" spans="1:9" x14ac:dyDescent="0.25">
      <c r="A1861">
        <v>487</v>
      </c>
      <c r="B1861" s="1">
        <v>45509</v>
      </c>
      <c r="C1861">
        <v>93</v>
      </c>
      <c r="D1861">
        <v>36</v>
      </c>
      <c r="E1861">
        <v>2</v>
      </c>
      <c r="F1861">
        <v>5</v>
      </c>
      <c r="G1861" t="s">
        <v>1044</v>
      </c>
      <c r="H1861">
        <f>_xlfn.XLOOKUP(D1861, productos!$A$2:$A$150, productos!$D$2:$D$150, "No Encontrado", 0)</f>
        <v>3.25</v>
      </c>
      <c r="I1861">
        <f t="shared" si="29"/>
        <v>6.5</v>
      </c>
    </row>
    <row r="1862" spans="1:9" x14ac:dyDescent="0.25">
      <c r="A1862">
        <v>584</v>
      </c>
      <c r="B1862" s="1">
        <v>45509</v>
      </c>
      <c r="C1862">
        <v>99</v>
      </c>
      <c r="D1862">
        <v>11</v>
      </c>
      <c r="E1862">
        <v>4</v>
      </c>
      <c r="F1862">
        <v>5</v>
      </c>
      <c r="G1862" t="s">
        <v>1044</v>
      </c>
      <c r="H1862">
        <f>_xlfn.XLOOKUP(D1862, productos!$A$2:$A$150, productos!$D$2:$D$150, "No Encontrado", 0)</f>
        <v>11.23</v>
      </c>
      <c r="I1862">
        <f t="shared" si="29"/>
        <v>44.92</v>
      </c>
    </row>
    <row r="1863" spans="1:9" x14ac:dyDescent="0.25">
      <c r="A1863">
        <v>591</v>
      </c>
      <c r="B1863" s="1">
        <v>45509</v>
      </c>
      <c r="C1863">
        <v>111</v>
      </c>
      <c r="D1863">
        <v>37</v>
      </c>
      <c r="E1863">
        <v>5</v>
      </c>
      <c r="F1863">
        <v>2</v>
      </c>
      <c r="G1863" t="s">
        <v>1045</v>
      </c>
      <c r="H1863">
        <f>_xlfn.XLOOKUP(D1863, productos!$A$2:$A$150, productos!$D$2:$D$150, "No Encontrado", 0)</f>
        <v>3.65</v>
      </c>
      <c r="I1863">
        <f t="shared" si="29"/>
        <v>18.25</v>
      </c>
    </row>
    <row r="1864" spans="1:9" x14ac:dyDescent="0.25">
      <c r="A1864">
        <v>854</v>
      </c>
      <c r="B1864" s="1">
        <v>45509</v>
      </c>
      <c r="C1864">
        <v>82</v>
      </c>
      <c r="D1864">
        <v>29</v>
      </c>
      <c r="E1864">
        <v>6</v>
      </c>
      <c r="F1864">
        <v>3</v>
      </c>
      <c r="G1864" t="s">
        <v>1044</v>
      </c>
      <c r="H1864">
        <f>_xlfn.XLOOKUP(D1864, productos!$A$2:$A$150, productos!$D$2:$D$150, "No Encontrado", 0)</f>
        <v>11.54</v>
      </c>
      <c r="I1864">
        <f t="shared" si="29"/>
        <v>69.239999999999995</v>
      </c>
    </row>
    <row r="1865" spans="1:9" x14ac:dyDescent="0.25">
      <c r="A1865">
        <v>880</v>
      </c>
      <c r="B1865" s="1">
        <v>45509</v>
      </c>
      <c r="C1865">
        <v>114</v>
      </c>
      <c r="D1865">
        <v>2</v>
      </c>
      <c r="E1865">
        <v>2</v>
      </c>
      <c r="F1865">
        <v>5</v>
      </c>
      <c r="G1865" t="s">
        <v>1044</v>
      </c>
      <c r="H1865">
        <f>_xlfn.XLOOKUP(D1865, productos!$A$2:$A$150, productos!$D$2:$D$150, "No Encontrado", 0)</f>
        <v>5.21</v>
      </c>
      <c r="I1865">
        <f t="shared" si="29"/>
        <v>10.42</v>
      </c>
    </row>
    <row r="1866" spans="1:9" x14ac:dyDescent="0.25">
      <c r="A1866">
        <v>1009</v>
      </c>
      <c r="B1866" s="1">
        <v>45509</v>
      </c>
      <c r="C1866">
        <v>306</v>
      </c>
      <c r="D1866">
        <v>29</v>
      </c>
      <c r="E1866">
        <v>2</v>
      </c>
      <c r="F1866">
        <v>5</v>
      </c>
      <c r="G1866" t="s">
        <v>1044</v>
      </c>
      <c r="H1866">
        <f>_xlfn.XLOOKUP(D1866, productos!$A$2:$A$150, productos!$D$2:$D$150, "No Encontrado", 0)</f>
        <v>11.54</v>
      </c>
      <c r="I1866">
        <f t="shared" si="29"/>
        <v>23.08</v>
      </c>
    </row>
    <row r="1867" spans="1:9" x14ac:dyDescent="0.25">
      <c r="A1867">
        <v>1432</v>
      </c>
      <c r="B1867" s="1">
        <v>45509</v>
      </c>
      <c r="C1867">
        <v>309</v>
      </c>
      <c r="D1867">
        <v>36</v>
      </c>
      <c r="E1867">
        <v>3</v>
      </c>
      <c r="F1867">
        <v>4</v>
      </c>
      <c r="G1867" t="s">
        <v>1044</v>
      </c>
      <c r="H1867">
        <f>_xlfn.XLOOKUP(D1867, productos!$A$2:$A$150, productos!$D$2:$D$150, "No Encontrado", 0)</f>
        <v>3.25</v>
      </c>
      <c r="I1867">
        <f t="shared" si="29"/>
        <v>9.75</v>
      </c>
    </row>
    <row r="1868" spans="1:9" x14ac:dyDescent="0.25">
      <c r="A1868">
        <v>1482</v>
      </c>
      <c r="B1868" s="1">
        <v>45509</v>
      </c>
      <c r="C1868">
        <v>126</v>
      </c>
      <c r="D1868">
        <v>18</v>
      </c>
      <c r="E1868">
        <v>4</v>
      </c>
      <c r="F1868">
        <v>1</v>
      </c>
      <c r="G1868" t="s">
        <v>1044</v>
      </c>
      <c r="H1868">
        <f>_xlfn.XLOOKUP(D1868, productos!$A$2:$A$150, productos!$D$2:$D$150, "No Encontrado", 0)</f>
        <v>7.25</v>
      </c>
      <c r="I1868">
        <f t="shared" si="29"/>
        <v>29</v>
      </c>
    </row>
    <row r="1869" spans="1:9" x14ac:dyDescent="0.25">
      <c r="A1869">
        <v>1604</v>
      </c>
      <c r="B1869" s="1">
        <v>45509</v>
      </c>
      <c r="C1869">
        <v>1</v>
      </c>
      <c r="D1869">
        <v>15</v>
      </c>
      <c r="E1869">
        <v>1</v>
      </c>
      <c r="F1869">
        <v>5</v>
      </c>
      <c r="G1869" t="s">
        <v>1044</v>
      </c>
      <c r="H1869">
        <f>_xlfn.XLOOKUP(D1869, productos!$A$2:$A$150, productos!$D$2:$D$150, "No Encontrado", 0)</f>
        <v>3.51</v>
      </c>
      <c r="I1869">
        <f t="shared" si="29"/>
        <v>3.51</v>
      </c>
    </row>
    <row r="1870" spans="1:9" x14ac:dyDescent="0.25">
      <c r="A1870">
        <v>2187</v>
      </c>
      <c r="B1870" s="1">
        <v>45509</v>
      </c>
      <c r="C1870">
        <v>69</v>
      </c>
      <c r="D1870">
        <v>29</v>
      </c>
      <c r="E1870">
        <v>1</v>
      </c>
      <c r="F1870">
        <v>1</v>
      </c>
      <c r="G1870" t="s">
        <v>1044</v>
      </c>
      <c r="H1870">
        <f>_xlfn.XLOOKUP(D1870, productos!$A$2:$A$150, productos!$D$2:$D$150, "No Encontrado", 0)</f>
        <v>11.54</v>
      </c>
      <c r="I1870">
        <f t="shared" si="29"/>
        <v>11.54</v>
      </c>
    </row>
    <row r="1871" spans="1:9" x14ac:dyDescent="0.25">
      <c r="A1871">
        <v>2357</v>
      </c>
      <c r="B1871" s="1">
        <v>45509</v>
      </c>
      <c r="C1871">
        <v>125</v>
      </c>
      <c r="D1871">
        <v>32</v>
      </c>
      <c r="E1871">
        <v>5</v>
      </c>
      <c r="F1871">
        <v>5</v>
      </c>
      <c r="G1871" t="s">
        <v>1044</v>
      </c>
      <c r="H1871">
        <f>_xlfn.XLOOKUP(D1871, productos!$A$2:$A$150, productos!$D$2:$D$150, "No Encontrado", 0)</f>
        <v>6.25</v>
      </c>
      <c r="I1871">
        <f t="shared" si="29"/>
        <v>31.25</v>
      </c>
    </row>
    <row r="1872" spans="1:9" x14ac:dyDescent="0.25">
      <c r="A1872">
        <v>2618</v>
      </c>
      <c r="B1872" s="1">
        <v>45509</v>
      </c>
      <c r="C1872">
        <v>145</v>
      </c>
      <c r="D1872">
        <v>1</v>
      </c>
      <c r="E1872">
        <v>3</v>
      </c>
      <c r="F1872">
        <v>3</v>
      </c>
      <c r="G1872" t="s">
        <v>1044</v>
      </c>
      <c r="H1872">
        <f>_xlfn.XLOOKUP(D1872, productos!$A$2:$A$150, productos!$D$2:$D$150, "No Encontrado", 0)</f>
        <v>12.24</v>
      </c>
      <c r="I1872">
        <f t="shared" si="29"/>
        <v>36.72</v>
      </c>
    </row>
    <row r="1873" spans="1:9" x14ac:dyDescent="0.25">
      <c r="A1873">
        <v>2627</v>
      </c>
      <c r="B1873" s="1">
        <v>45509</v>
      </c>
      <c r="C1873">
        <v>241</v>
      </c>
      <c r="D1873">
        <v>36</v>
      </c>
      <c r="E1873">
        <v>4</v>
      </c>
      <c r="F1873">
        <v>2</v>
      </c>
      <c r="G1873" t="s">
        <v>1044</v>
      </c>
      <c r="H1873">
        <f>_xlfn.XLOOKUP(D1873, productos!$A$2:$A$150, productos!$D$2:$D$150, "No Encontrado", 0)</f>
        <v>3.25</v>
      </c>
      <c r="I1873">
        <f t="shared" si="29"/>
        <v>13</v>
      </c>
    </row>
    <row r="1874" spans="1:9" x14ac:dyDescent="0.25">
      <c r="A1874">
        <v>2773</v>
      </c>
      <c r="B1874" s="1">
        <v>45509</v>
      </c>
      <c r="C1874">
        <v>248</v>
      </c>
      <c r="D1874">
        <v>31</v>
      </c>
      <c r="E1874">
        <v>4</v>
      </c>
      <c r="F1874">
        <v>3</v>
      </c>
      <c r="G1874" t="s">
        <v>1044</v>
      </c>
      <c r="H1874">
        <f>_xlfn.XLOOKUP(D1874, productos!$A$2:$A$150, productos!$D$2:$D$150, "No Encontrado", 0)</f>
        <v>5.24</v>
      </c>
      <c r="I1874">
        <f t="shared" si="29"/>
        <v>20.96</v>
      </c>
    </row>
    <row r="1875" spans="1:9" x14ac:dyDescent="0.25">
      <c r="A1875">
        <v>764</v>
      </c>
      <c r="B1875" s="1">
        <v>45510</v>
      </c>
      <c r="C1875">
        <v>43</v>
      </c>
      <c r="D1875">
        <v>9</v>
      </c>
      <c r="E1875">
        <v>2</v>
      </c>
      <c r="F1875">
        <v>5</v>
      </c>
      <c r="G1875" t="s">
        <v>1044</v>
      </c>
      <c r="H1875">
        <f>_xlfn.XLOOKUP(D1875, productos!$A$2:$A$150, productos!$D$2:$D$150, "No Encontrado", 0)</f>
        <v>18.559999999999999</v>
      </c>
      <c r="I1875">
        <f t="shared" si="29"/>
        <v>37.119999999999997</v>
      </c>
    </row>
    <row r="1876" spans="1:9" x14ac:dyDescent="0.25">
      <c r="A1876">
        <v>1229</v>
      </c>
      <c r="B1876" s="1">
        <v>45510</v>
      </c>
      <c r="C1876">
        <v>107</v>
      </c>
      <c r="D1876">
        <v>22</v>
      </c>
      <c r="E1876">
        <v>1</v>
      </c>
      <c r="F1876">
        <v>4</v>
      </c>
      <c r="G1876" t="s">
        <v>1046</v>
      </c>
      <c r="H1876">
        <f>_xlfn.XLOOKUP(D1876, productos!$A$2:$A$150, productos!$D$2:$D$150, "No Encontrado", 0)</f>
        <v>4.21</v>
      </c>
      <c r="I1876">
        <f t="shared" si="29"/>
        <v>4.21</v>
      </c>
    </row>
    <row r="1877" spans="1:9" x14ac:dyDescent="0.25">
      <c r="A1877">
        <v>1544</v>
      </c>
      <c r="B1877" s="1">
        <v>45510</v>
      </c>
      <c r="C1877">
        <v>60</v>
      </c>
      <c r="D1877">
        <v>26</v>
      </c>
      <c r="E1877">
        <v>6</v>
      </c>
      <c r="F1877">
        <v>3</v>
      </c>
      <c r="G1877" t="s">
        <v>1044</v>
      </c>
      <c r="H1877">
        <f>_xlfn.XLOOKUP(D1877, productos!$A$2:$A$150, productos!$D$2:$D$150, "No Encontrado", 0)</f>
        <v>9.5399999999999991</v>
      </c>
      <c r="I1877">
        <f t="shared" si="29"/>
        <v>57.239999999999995</v>
      </c>
    </row>
    <row r="1878" spans="1:9" x14ac:dyDescent="0.25">
      <c r="A1878">
        <v>1767</v>
      </c>
      <c r="B1878" s="1">
        <v>45510</v>
      </c>
      <c r="C1878">
        <v>215</v>
      </c>
      <c r="D1878">
        <v>36</v>
      </c>
      <c r="E1878">
        <v>5</v>
      </c>
      <c r="F1878">
        <v>3</v>
      </c>
      <c r="G1878" t="s">
        <v>1044</v>
      </c>
      <c r="H1878">
        <f>_xlfn.XLOOKUP(D1878, productos!$A$2:$A$150, productos!$D$2:$D$150, "No Encontrado", 0)</f>
        <v>3.25</v>
      </c>
      <c r="I1878">
        <f t="shared" si="29"/>
        <v>16.25</v>
      </c>
    </row>
    <row r="1879" spans="1:9" x14ac:dyDescent="0.25">
      <c r="A1879">
        <v>2848</v>
      </c>
      <c r="B1879" s="1">
        <v>45510</v>
      </c>
      <c r="C1879">
        <v>157</v>
      </c>
      <c r="D1879">
        <v>9</v>
      </c>
      <c r="E1879">
        <v>4</v>
      </c>
      <c r="F1879">
        <v>3</v>
      </c>
      <c r="G1879" t="s">
        <v>1044</v>
      </c>
      <c r="H1879">
        <f>_xlfn.XLOOKUP(D1879, productos!$A$2:$A$150, productos!$D$2:$D$150, "No Encontrado", 0)</f>
        <v>18.559999999999999</v>
      </c>
      <c r="I1879">
        <f t="shared" si="29"/>
        <v>74.239999999999995</v>
      </c>
    </row>
    <row r="1880" spans="1:9" x14ac:dyDescent="0.25">
      <c r="A1880">
        <v>2852</v>
      </c>
      <c r="B1880" s="1">
        <v>45510</v>
      </c>
      <c r="C1880">
        <v>50</v>
      </c>
      <c r="D1880">
        <v>26</v>
      </c>
      <c r="E1880">
        <v>4</v>
      </c>
      <c r="F1880">
        <v>3</v>
      </c>
      <c r="G1880" t="s">
        <v>1044</v>
      </c>
      <c r="H1880">
        <f>_xlfn.XLOOKUP(D1880, productos!$A$2:$A$150, productos!$D$2:$D$150, "No Encontrado", 0)</f>
        <v>9.5399999999999991</v>
      </c>
      <c r="I1880">
        <f t="shared" si="29"/>
        <v>38.159999999999997</v>
      </c>
    </row>
    <row r="1881" spans="1:9" x14ac:dyDescent="0.25">
      <c r="A1881">
        <v>839</v>
      </c>
      <c r="B1881" s="1">
        <v>45511</v>
      </c>
      <c r="C1881">
        <v>35</v>
      </c>
      <c r="D1881">
        <v>12</v>
      </c>
      <c r="E1881">
        <v>6</v>
      </c>
      <c r="F1881">
        <v>5</v>
      </c>
      <c r="G1881" t="s">
        <v>1044</v>
      </c>
      <c r="H1881">
        <f>_xlfn.XLOOKUP(D1881, productos!$A$2:$A$150, productos!$D$2:$D$150, "No Encontrado", 0)</f>
        <v>8.1199999999999992</v>
      </c>
      <c r="I1881">
        <f t="shared" si="29"/>
        <v>48.72</v>
      </c>
    </row>
    <row r="1882" spans="1:9" x14ac:dyDescent="0.25">
      <c r="A1882">
        <v>1038</v>
      </c>
      <c r="B1882" s="1">
        <v>45511</v>
      </c>
      <c r="C1882">
        <v>119</v>
      </c>
      <c r="D1882">
        <v>34</v>
      </c>
      <c r="E1882">
        <v>5</v>
      </c>
      <c r="F1882">
        <v>3</v>
      </c>
      <c r="G1882" t="s">
        <v>1044</v>
      </c>
      <c r="H1882">
        <f>_xlfn.XLOOKUP(D1882, productos!$A$2:$A$150, productos!$D$2:$D$150, "No Encontrado", 0)</f>
        <v>5.45</v>
      </c>
      <c r="I1882">
        <f t="shared" si="29"/>
        <v>27.25</v>
      </c>
    </row>
    <row r="1883" spans="1:9" x14ac:dyDescent="0.25">
      <c r="A1883">
        <v>1058</v>
      </c>
      <c r="B1883" s="1">
        <v>45511</v>
      </c>
      <c r="C1883">
        <v>67</v>
      </c>
      <c r="D1883">
        <v>15</v>
      </c>
      <c r="E1883">
        <v>5</v>
      </c>
      <c r="F1883">
        <v>1</v>
      </c>
      <c r="G1883" t="s">
        <v>1044</v>
      </c>
      <c r="H1883">
        <f>_xlfn.XLOOKUP(D1883, productos!$A$2:$A$150, productos!$D$2:$D$150, "No Encontrado", 0)</f>
        <v>3.51</v>
      </c>
      <c r="I1883">
        <f t="shared" si="29"/>
        <v>17.549999999999997</v>
      </c>
    </row>
    <row r="1884" spans="1:9" x14ac:dyDescent="0.25">
      <c r="A1884">
        <v>1426</v>
      </c>
      <c r="B1884" s="1">
        <v>45511</v>
      </c>
      <c r="C1884">
        <v>326</v>
      </c>
      <c r="D1884">
        <v>15</v>
      </c>
      <c r="E1884">
        <v>6</v>
      </c>
      <c r="F1884">
        <v>3</v>
      </c>
      <c r="G1884" t="s">
        <v>1044</v>
      </c>
      <c r="H1884">
        <f>_xlfn.XLOOKUP(D1884, productos!$A$2:$A$150, productos!$D$2:$D$150, "No Encontrado", 0)</f>
        <v>3.51</v>
      </c>
      <c r="I1884">
        <f t="shared" si="29"/>
        <v>21.06</v>
      </c>
    </row>
    <row r="1885" spans="1:9" x14ac:dyDescent="0.25">
      <c r="A1885">
        <v>1527</v>
      </c>
      <c r="B1885" s="1">
        <v>45511</v>
      </c>
      <c r="C1885">
        <v>203</v>
      </c>
      <c r="D1885">
        <v>29</v>
      </c>
      <c r="E1885">
        <v>5</v>
      </c>
      <c r="F1885">
        <v>3</v>
      </c>
      <c r="G1885" t="s">
        <v>1044</v>
      </c>
      <c r="H1885">
        <f>_xlfn.XLOOKUP(D1885, productos!$A$2:$A$150, productos!$D$2:$D$150, "No Encontrado", 0)</f>
        <v>11.54</v>
      </c>
      <c r="I1885">
        <f t="shared" si="29"/>
        <v>57.699999999999996</v>
      </c>
    </row>
    <row r="1886" spans="1:9" x14ac:dyDescent="0.25">
      <c r="A1886">
        <v>2212</v>
      </c>
      <c r="B1886" s="1">
        <v>45511</v>
      </c>
      <c r="C1886">
        <v>99</v>
      </c>
      <c r="D1886">
        <v>23</v>
      </c>
      <c r="E1886">
        <v>3</v>
      </c>
      <c r="F1886">
        <v>1</v>
      </c>
      <c r="G1886" t="s">
        <v>1044</v>
      </c>
      <c r="H1886">
        <f>_xlfn.XLOOKUP(D1886, productos!$A$2:$A$150, productos!$D$2:$D$150, "No Encontrado", 0)</f>
        <v>8.23</v>
      </c>
      <c r="I1886">
        <f t="shared" si="29"/>
        <v>24.69</v>
      </c>
    </row>
    <row r="1887" spans="1:9" x14ac:dyDescent="0.25">
      <c r="A1887">
        <v>2284</v>
      </c>
      <c r="B1887" s="1">
        <v>45511</v>
      </c>
      <c r="C1887">
        <v>58</v>
      </c>
      <c r="D1887">
        <v>15</v>
      </c>
      <c r="E1887">
        <v>4</v>
      </c>
      <c r="F1887">
        <v>5</v>
      </c>
      <c r="G1887" t="s">
        <v>1045</v>
      </c>
      <c r="H1887">
        <f>_xlfn.XLOOKUP(D1887, productos!$A$2:$A$150, productos!$D$2:$D$150, "No Encontrado", 0)</f>
        <v>3.51</v>
      </c>
      <c r="I1887">
        <f t="shared" si="29"/>
        <v>14.04</v>
      </c>
    </row>
    <row r="1888" spans="1:9" x14ac:dyDescent="0.25">
      <c r="A1888">
        <v>2784</v>
      </c>
      <c r="B1888" s="1">
        <v>45511</v>
      </c>
      <c r="C1888">
        <v>44</v>
      </c>
      <c r="D1888">
        <v>35</v>
      </c>
      <c r="E1888">
        <v>3</v>
      </c>
      <c r="F1888">
        <v>5</v>
      </c>
      <c r="G1888" t="s">
        <v>1044</v>
      </c>
      <c r="H1888">
        <f>_xlfn.XLOOKUP(D1888, productos!$A$2:$A$150, productos!$D$2:$D$150, "No Encontrado", 0)</f>
        <v>4.25</v>
      </c>
      <c r="I1888">
        <f t="shared" si="29"/>
        <v>12.75</v>
      </c>
    </row>
    <row r="1889" spans="1:9" x14ac:dyDescent="0.25">
      <c r="A1889">
        <v>398</v>
      </c>
      <c r="B1889" s="1">
        <v>45512</v>
      </c>
      <c r="C1889">
        <v>123</v>
      </c>
      <c r="D1889">
        <v>23</v>
      </c>
      <c r="E1889">
        <v>1</v>
      </c>
      <c r="F1889">
        <v>1</v>
      </c>
      <c r="G1889" t="s">
        <v>1045</v>
      </c>
      <c r="H1889">
        <f>_xlfn.XLOOKUP(D1889, productos!$A$2:$A$150, productos!$D$2:$D$150, "No Encontrado", 0)</f>
        <v>8.23</v>
      </c>
      <c r="I1889">
        <f t="shared" si="29"/>
        <v>8.23</v>
      </c>
    </row>
    <row r="1890" spans="1:9" x14ac:dyDescent="0.25">
      <c r="A1890">
        <v>494</v>
      </c>
      <c r="B1890" s="1">
        <v>45512</v>
      </c>
      <c r="C1890">
        <v>143</v>
      </c>
      <c r="D1890">
        <v>8</v>
      </c>
      <c r="E1890">
        <v>6</v>
      </c>
      <c r="F1890">
        <v>4</v>
      </c>
      <c r="G1890" t="s">
        <v>1044</v>
      </c>
      <c r="H1890">
        <f>_xlfn.XLOOKUP(D1890, productos!$A$2:$A$150, productos!$D$2:$D$150, "No Encontrado", 0)</f>
        <v>16.21</v>
      </c>
      <c r="I1890">
        <f t="shared" si="29"/>
        <v>97.26</v>
      </c>
    </row>
    <row r="1891" spans="1:9" x14ac:dyDescent="0.25">
      <c r="A1891">
        <v>1080</v>
      </c>
      <c r="B1891" s="1">
        <v>45512</v>
      </c>
      <c r="C1891">
        <v>202</v>
      </c>
      <c r="D1891">
        <v>27</v>
      </c>
      <c r="E1891">
        <v>6</v>
      </c>
      <c r="F1891">
        <v>4</v>
      </c>
      <c r="G1891" t="s">
        <v>1044</v>
      </c>
      <c r="H1891">
        <f>_xlfn.XLOOKUP(D1891, productos!$A$2:$A$150, productos!$D$2:$D$150, "No Encontrado", 0)</f>
        <v>6.21</v>
      </c>
      <c r="I1891">
        <f t="shared" si="29"/>
        <v>37.26</v>
      </c>
    </row>
    <row r="1892" spans="1:9" x14ac:dyDescent="0.25">
      <c r="A1892">
        <v>1827</v>
      </c>
      <c r="B1892" s="1">
        <v>45512</v>
      </c>
      <c r="C1892">
        <v>13</v>
      </c>
      <c r="D1892">
        <v>28</v>
      </c>
      <c r="E1892">
        <v>2</v>
      </c>
      <c r="F1892">
        <v>3</v>
      </c>
      <c r="G1892" t="s">
        <v>1045</v>
      </c>
      <c r="H1892">
        <f>_xlfn.XLOOKUP(D1892, productos!$A$2:$A$150, productos!$D$2:$D$150, "No Encontrado", 0)</f>
        <v>9.4499999999999993</v>
      </c>
      <c r="I1892">
        <f t="shared" si="29"/>
        <v>18.899999999999999</v>
      </c>
    </row>
    <row r="1893" spans="1:9" x14ac:dyDescent="0.25">
      <c r="A1893">
        <v>2049</v>
      </c>
      <c r="B1893" s="1">
        <v>45512</v>
      </c>
      <c r="C1893">
        <v>76</v>
      </c>
      <c r="D1893">
        <v>9</v>
      </c>
      <c r="E1893">
        <v>1</v>
      </c>
      <c r="F1893">
        <v>3</v>
      </c>
      <c r="G1893" t="s">
        <v>1044</v>
      </c>
      <c r="H1893">
        <f>_xlfn.XLOOKUP(D1893, productos!$A$2:$A$150, productos!$D$2:$D$150, "No Encontrado", 0)</f>
        <v>18.559999999999999</v>
      </c>
      <c r="I1893">
        <f t="shared" si="29"/>
        <v>18.559999999999999</v>
      </c>
    </row>
    <row r="1894" spans="1:9" x14ac:dyDescent="0.25">
      <c r="A1894">
        <v>2802</v>
      </c>
      <c r="B1894" s="1">
        <v>45512</v>
      </c>
      <c r="C1894">
        <v>326</v>
      </c>
      <c r="D1894">
        <v>16</v>
      </c>
      <c r="E1894">
        <v>4</v>
      </c>
      <c r="F1894">
        <v>3</v>
      </c>
      <c r="G1894" t="s">
        <v>1044</v>
      </c>
      <c r="H1894">
        <f>_xlfn.XLOOKUP(D1894, productos!$A$2:$A$150, productos!$D$2:$D$150, "No Encontrado", 0)</f>
        <v>15.23</v>
      </c>
      <c r="I1894">
        <f t="shared" si="29"/>
        <v>60.92</v>
      </c>
    </row>
    <row r="1895" spans="1:9" x14ac:dyDescent="0.25">
      <c r="A1895">
        <v>418</v>
      </c>
      <c r="B1895" s="1">
        <v>45513</v>
      </c>
      <c r="C1895">
        <v>252</v>
      </c>
      <c r="D1895">
        <v>32</v>
      </c>
      <c r="E1895">
        <v>4</v>
      </c>
      <c r="F1895">
        <v>1</v>
      </c>
      <c r="G1895" t="s">
        <v>1044</v>
      </c>
      <c r="H1895">
        <f>_xlfn.XLOOKUP(D1895, productos!$A$2:$A$150, productos!$D$2:$D$150, "No Encontrado", 0)</f>
        <v>6.25</v>
      </c>
      <c r="I1895">
        <f t="shared" si="29"/>
        <v>25</v>
      </c>
    </row>
    <row r="1896" spans="1:9" x14ac:dyDescent="0.25">
      <c r="A1896">
        <v>1101</v>
      </c>
      <c r="B1896" s="1">
        <v>45513</v>
      </c>
      <c r="C1896">
        <v>127</v>
      </c>
      <c r="D1896">
        <v>6</v>
      </c>
      <c r="E1896">
        <v>6</v>
      </c>
      <c r="F1896">
        <v>1</v>
      </c>
      <c r="G1896" t="s">
        <v>1044</v>
      </c>
      <c r="H1896">
        <f>_xlfn.XLOOKUP(D1896, productos!$A$2:$A$150, productos!$D$2:$D$150, "No Encontrado", 0)</f>
        <v>28.56</v>
      </c>
      <c r="I1896">
        <f t="shared" si="29"/>
        <v>171.35999999999999</v>
      </c>
    </row>
    <row r="1897" spans="1:9" x14ac:dyDescent="0.25">
      <c r="A1897">
        <v>1166</v>
      </c>
      <c r="B1897" s="1">
        <v>45513</v>
      </c>
      <c r="C1897">
        <v>151</v>
      </c>
      <c r="D1897">
        <v>9</v>
      </c>
      <c r="E1897">
        <v>5</v>
      </c>
      <c r="F1897">
        <v>4</v>
      </c>
      <c r="G1897" t="s">
        <v>1044</v>
      </c>
      <c r="H1897">
        <f>_xlfn.XLOOKUP(D1897, productos!$A$2:$A$150, productos!$D$2:$D$150, "No Encontrado", 0)</f>
        <v>18.559999999999999</v>
      </c>
      <c r="I1897">
        <f t="shared" si="29"/>
        <v>92.8</v>
      </c>
    </row>
    <row r="1898" spans="1:9" x14ac:dyDescent="0.25">
      <c r="A1898">
        <v>2791</v>
      </c>
      <c r="B1898" s="1">
        <v>45513</v>
      </c>
      <c r="C1898">
        <v>124</v>
      </c>
      <c r="D1898">
        <v>33</v>
      </c>
      <c r="E1898">
        <v>2</v>
      </c>
      <c r="F1898">
        <v>3</v>
      </c>
      <c r="G1898" t="s">
        <v>1044</v>
      </c>
      <c r="H1898">
        <f>_xlfn.XLOOKUP(D1898, productos!$A$2:$A$150, productos!$D$2:$D$150, "No Encontrado", 0)</f>
        <v>8.5399999999999991</v>
      </c>
      <c r="I1898">
        <f t="shared" si="29"/>
        <v>17.079999999999998</v>
      </c>
    </row>
    <row r="1899" spans="1:9" x14ac:dyDescent="0.25">
      <c r="A1899">
        <v>502</v>
      </c>
      <c r="B1899" s="1">
        <v>45514</v>
      </c>
      <c r="C1899">
        <v>231</v>
      </c>
      <c r="D1899">
        <v>23</v>
      </c>
      <c r="E1899">
        <v>1</v>
      </c>
      <c r="F1899">
        <v>4</v>
      </c>
      <c r="G1899" t="s">
        <v>1044</v>
      </c>
      <c r="H1899">
        <f>_xlfn.XLOOKUP(D1899, productos!$A$2:$A$150, productos!$D$2:$D$150, "No Encontrado", 0)</f>
        <v>8.23</v>
      </c>
      <c r="I1899">
        <f t="shared" si="29"/>
        <v>8.23</v>
      </c>
    </row>
    <row r="1900" spans="1:9" x14ac:dyDescent="0.25">
      <c r="A1900">
        <v>594</v>
      </c>
      <c r="B1900" s="1">
        <v>45514</v>
      </c>
      <c r="C1900">
        <v>261</v>
      </c>
      <c r="D1900">
        <v>5</v>
      </c>
      <c r="E1900">
        <v>4</v>
      </c>
      <c r="F1900">
        <v>3</v>
      </c>
      <c r="G1900" t="s">
        <v>1044</v>
      </c>
      <c r="H1900">
        <f>_xlfn.XLOOKUP(D1900, productos!$A$2:$A$150, productos!$D$2:$D$150, "No Encontrado", 0)</f>
        <v>5.65</v>
      </c>
      <c r="I1900">
        <f t="shared" si="29"/>
        <v>22.6</v>
      </c>
    </row>
    <row r="1901" spans="1:9" x14ac:dyDescent="0.25">
      <c r="A1901">
        <v>703</v>
      </c>
      <c r="B1901" s="1">
        <v>45514</v>
      </c>
      <c r="C1901">
        <v>126</v>
      </c>
      <c r="D1901">
        <v>24</v>
      </c>
      <c r="E1901">
        <v>5</v>
      </c>
      <c r="F1901">
        <v>4</v>
      </c>
      <c r="G1901" t="s">
        <v>1044</v>
      </c>
      <c r="H1901">
        <f>_xlfn.XLOOKUP(D1901, productos!$A$2:$A$150, productos!$D$2:$D$150, "No Encontrado", 0)</f>
        <v>13.54</v>
      </c>
      <c r="I1901">
        <f t="shared" si="29"/>
        <v>67.699999999999989</v>
      </c>
    </row>
    <row r="1902" spans="1:9" x14ac:dyDescent="0.25">
      <c r="A1902">
        <v>1865</v>
      </c>
      <c r="B1902" s="1">
        <v>45514</v>
      </c>
      <c r="C1902">
        <v>247</v>
      </c>
      <c r="D1902">
        <v>9</v>
      </c>
      <c r="E1902">
        <v>3</v>
      </c>
      <c r="F1902">
        <v>1</v>
      </c>
      <c r="G1902" t="s">
        <v>1044</v>
      </c>
      <c r="H1902">
        <f>_xlfn.XLOOKUP(D1902, productos!$A$2:$A$150, productos!$D$2:$D$150, "No Encontrado", 0)</f>
        <v>18.559999999999999</v>
      </c>
      <c r="I1902">
        <f t="shared" si="29"/>
        <v>55.679999999999993</v>
      </c>
    </row>
    <row r="1903" spans="1:9" x14ac:dyDescent="0.25">
      <c r="A1903">
        <v>2324</v>
      </c>
      <c r="B1903" s="1">
        <v>45514</v>
      </c>
      <c r="C1903">
        <v>235</v>
      </c>
      <c r="D1903">
        <v>30</v>
      </c>
      <c r="E1903">
        <v>1</v>
      </c>
      <c r="F1903">
        <v>4</v>
      </c>
      <c r="G1903" t="s">
        <v>1044</v>
      </c>
      <c r="H1903">
        <f>_xlfn.XLOOKUP(D1903, productos!$A$2:$A$150, productos!$D$2:$D$150, "No Encontrado", 0)</f>
        <v>13.54</v>
      </c>
      <c r="I1903">
        <f t="shared" si="29"/>
        <v>13.54</v>
      </c>
    </row>
    <row r="1904" spans="1:9" x14ac:dyDescent="0.25">
      <c r="A1904">
        <v>2748</v>
      </c>
      <c r="B1904" s="1">
        <v>45514</v>
      </c>
      <c r="C1904">
        <v>169</v>
      </c>
      <c r="D1904">
        <v>27</v>
      </c>
      <c r="E1904">
        <v>2</v>
      </c>
      <c r="F1904">
        <v>1</v>
      </c>
      <c r="G1904" t="s">
        <v>1044</v>
      </c>
      <c r="H1904">
        <f>_xlfn.XLOOKUP(D1904, productos!$A$2:$A$150, productos!$D$2:$D$150, "No Encontrado", 0)</f>
        <v>6.21</v>
      </c>
      <c r="I1904">
        <f t="shared" si="29"/>
        <v>12.42</v>
      </c>
    </row>
    <row r="1905" spans="1:9" x14ac:dyDescent="0.25">
      <c r="A1905">
        <v>427</v>
      </c>
      <c r="B1905" s="1">
        <v>45515</v>
      </c>
      <c r="C1905">
        <v>132</v>
      </c>
      <c r="D1905">
        <v>34</v>
      </c>
      <c r="E1905">
        <v>5</v>
      </c>
      <c r="F1905">
        <v>3</v>
      </c>
      <c r="G1905" t="s">
        <v>1044</v>
      </c>
      <c r="H1905">
        <f>_xlfn.XLOOKUP(D1905, productos!$A$2:$A$150, productos!$D$2:$D$150, "No Encontrado", 0)</f>
        <v>5.45</v>
      </c>
      <c r="I1905">
        <f t="shared" si="29"/>
        <v>27.25</v>
      </c>
    </row>
    <row r="1906" spans="1:9" x14ac:dyDescent="0.25">
      <c r="A1906">
        <v>852</v>
      </c>
      <c r="B1906" s="1">
        <v>45515</v>
      </c>
      <c r="C1906">
        <v>139</v>
      </c>
      <c r="D1906">
        <v>26</v>
      </c>
      <c r="E1906">
        <v>3</v>
      </c>
      <c r="F1906">
        <v>5</v>
      </c>
      <c r="G1906" t="s">
        <v>1044</v>
      </c>
      <c r="H1906">
        <f>_xlfn.XLOOKUP(D1906, productos!$A$2:$A$150, productos!$D$2:$D$150, "No Encontrado", 0)</f>
        <v>9.5399999999999991</v>
      </c>
      <c r="I1906">
        <f t="shared" si="29"/>
        <v>28.619999999999997</v>
      </c>
    </row>
    <row r="1907" spans="1:9" x14ac:dyDescent="0.25">
      <c r="A1907">
        <v>1008</v>
      </c>
      <c r="B1907" s="1">
        <v>45515</v>
      </c>
      <c r="C1907">
        <v>204</v>
      </c>
      <c r="D1907">
        <v>11</v>
      </c>
      <c r="E1907">
        <v>5</v>
      </c>
      <c r="F1907">
        <v>5</v>
      </c>
      <c r="G1907" t="s">
        <v>1044</v>
      </c>
      <c r="H1907">
        <f>_xlfn.XLOOKUP(D1907, productos!$A$2:$A$150, productos!$D$2:$D$150, "No Encontrado", 0)</f>
        <v>11.23</v>
      </c>
      <c r="I1907">
        <f t="shared" si="29"/>
        <v>56.150000000000006</v>
      </c>
    </row>
    <row r="1908" spans="1:9" x14ac:dyDescent="0.25">
      <c r="A1908">
        <v>1059</v>
      </c>
      <c r="B1908" s="1">
        <v>45515</v>
      </c>
      <c r="C1908">
        <v>24</v>
      </c>
      <c r="D1908">
        <v>29</v>
      </c>
      <c r="E1908">
        <v>3</v>
      </c>
      <c r="F1908">
        <v>1</v>
      </c>
      <c r="G1908" t="s">
        <v>1044</v>
      </c>
      <c r="H1908">
        <f>_xlfn.XLOOKUP(D1908, productos!$A$2:$A$150, productos!$D$2:$D$150, "No Encontrado", 0)</f>
        <v>11.54</v>
      </c>
      <c r="I1908">
        <f t="shared" si="29"/>
        <v>34.619999999999997</v>
      </c>
    </row>
    <row r="1909" spans="1:9" x14ac:dyDescent="0.25">
      <c r="A1909">
        <v>1855</v>
      </c>
      <c r="B1909" s="1">
        <v>45515</v>
      </c>
      <c r="C1909">
        <v>237</v>
      </c>
      <c r="D1909">
        <v>8</v>
      </c>
      <c r="E1909">
        <v>6</v>
      </c>
      <c r="F1909">
        <v>1</v>
      </c>
      <c r="G1909" t="s">
        <v>1044</v>
      </c>
      <c r="H1909">
        <f>_xlfn.XLOOKUP(D1909, productos!$A$2:$A$150, productos!$D$2:$D$150, "No Encontrado", 0)</f>
        <v>16.21</v>
      </c>
      <c r="I1909">
        <f t="shared" si="29"/>
        <v>97.26</v>
      </c>
    </row>
    <row r="1910" spans="1:9" x14ac:dyDescent="0.25">
      <c r="A1910">
        <v>1873</v>
      </c>
      <c r="B1910" s="1">
        <v>45515</v>
      </c>
      <c r="C1910">
        <v>234</v>
      </c>
      <c r="D1910">
        <v>9</v>
      </c>
      <c r="E1910">
        <v>2</v>
      </c>
      <c r="F1910">
        <v>5</v>
      </c>
      <c r="G1910" t="s">
        <v>1044</v>
      </c>
      <c r="H1910">
        <f>_xlfn.XLOOKUP(D1910, productos!$A$2:$A$150, productos!$D$2:$D$150, "No Encontrado", 0)</f>
        <v>18.559999999999999</v>
      </c>
      <c r="I1910">
        <f t="shared" si="29"/>
        <v>37.119999999999997</v>
      </c>
    </row>
    <row r="1911" spans="1:9" x14ac:dyDescent="0.25">
      <c r="A1911">
        <v>1991</v>
      </c>
      <c r="B1911" s="1">
        <v>45515</v>
      </c>
      <c r="C1911">
        <v>21</v>
      </c>
      <c r="D1911">
        <v>35</v>
      </c>
      <c r="E1911">
        <v>2</v>
      </c>
      <c r="F1911">
        <v>1</v>
      </c>
      <c r="G1911" t="s">
        <v>1044</v>
      </c>
      <c r="H1911">
        <f>_xlfn.XLOOKUP(D1911, productos!$A$2:$A$150, productos!$D$2:$D$150, "No Encontrado", 0)</f>
        <v>4.25</v>
      </c>
      <c r="I1911">
        <f t="shared" si="29"/>
        <v>8.5</v>
      </c>
    </row>
    <row r="1912" spans="1:9" x14ac:dyDescent="0.25">
      <c r="A1912">
        <v>1995</v>
      </c>
      <c r="B1912" s="1">
        <v>45515</v>
      </c>
      <c r="C1912">
        <v>159</v>
      </c>
      <c r="D1912">
        <v>9</v>
      </c>
      <c r="E1912">
        <v>2</v>
      </c>
      <c r="F1912">
        <v>5</v>
      </c>
      <c r="G1912" t="s">
        <v>1044</v>
      </c>
      <c r="H1912">
        <f>_xlfn.XLOOKUP(D1912, productos!$A$2:$A$150, productos!$D$2:$D$150, "No Encontrado", 0)</f>
        <v>18.559999999999999</v>
      </c>
      <c r="I1912">
        <f t="shared" si="29"/>
        <v>37.119999999999997</v>
      </c>
    </row>
    <row r="1913" spans="1:9" x14ac:dyDescent="0.25">
      <c r="A1913">
        <v>2172</v>
      </c>
      <c r="B1913" s="1">
        <v>45515</v>
      </c>
      <c r="C1913">
        <v>238</v>
      </c>
      <c r="D1913">
        <v>12</v>
      </c>
      <c r="E1913">
        <v>3</v>
      </c>
      <c r="F1913">
        <v>3</v>
      </c>
      <c r="G1913" t="s">
        <v>1044</v>
      </c>
      <c r="H1913">
        <f>_xlfn.XLOOKUP(D1913, productos!$A$2:$A$150, productos!$D$2:$D$150, "No Encontrado", 0)</f>
        <v>8.1199999999999992</v>
      </c>
      <c r="I1913">
        <f t="shared" si="29"/>
        <v>24.36</v>
      </c>
    </row>
    <row r="1914" spans="1:9" x14ac:dyDescent="0.25">
      <c r="A1914">
        <v>2692</v>
      </c>
      <c r="B1914" s="1">
        <v>45515</v>
      </c>
      <c r="C1914">
        <v>1</v>
      </c>
      <c r="D1914">
        <v>13</v>
      </c>
      <c r="E1914">
        <v>2</v>
      </c>
      <c r="F1914">
        <v>1</v>
      </c>
      <c r="G1914" t="s">
        <v>1045</v>
      </c>
      <c r="H1914">
        <f>_xlfn.XLOOKUP(D1914, productos!$A$2:$A$150, productos!$D$2:$D$150, "No Encontrado", 0)</f>
        <v>12.56</v>
      </c>
      <c r="I1914">
        <f t="shared" si="29"/>
        <v>25.12</v>
      </c>
    </row>
    <row r="1915" spans="1:9" x14ac:dyDescent="0.25">
      <c r="A1915">
        <v>2702</v>
      </c>
      <c r="B1915" s="1">
        <v>45515</v>
      </c>
      <c r="C1915">
        <v>212</v>
      </c>
      <c r="D1915">
        <v>3</v>
      </c>
      <c r="E1915">
        <v>1</v>
      </c>
      <c r="F1915">
        <v>4</v>
      </c>
      <c r="G1915" t="s">
        <v>1044</v>
      </c>
      <c r="H1915">
        <f>_xlfn.XLOOKUP(D1915, productos!$A$2:$A$150, productos!$D$2:$D$150, "No Encontrado", 0)</f>
        <v>17.23</v>
      </c>
      <c r="I1915">
        <f t="shared" si="29"/>
        <v>17.23</v>
      </c>
    </row>
    <row r="1916" spans="1:9" x14ac:dyDescent="0.25">
      <c r="A1916">
        <v>773</v>
      </c>
      <c r="B1916" s="1">
        <v>45516</v>
      </c>
      <c r="C1916">
        <v>247</v>
      </c>
      <c r="D1916">
        <v>26</v>
      </c>
      <c r="E1916">
        <v>2</v>
      </c>
      <c r="F1916">
        <v>1</v>
      </c>
      <c r="G1916" t="s">
        <v>1045</v>
      </c>
      <c r="H1916">
        <f>_xlfn.XLOOKUP(D1916, productos!$A$2:$A$150, productos!$D$2:$D$150, "No Encontrado", 0)</f>
        <v>9.5399999999999991</v>
      </c>
      <c r="I1916">
        <f t="shared" si="29"/>
        <v>19.079999999999998</v>
      </c>
    </row>
    <row r="1917" spans="1:9" x14ac:dyDescent="0.25">
      <c r="A1917">
        <v>1242</v>
      </c>
      <c r="B1917" s="1">
        <v>45516</v>
      </c>
      <c r="C1917">
        <v>62</v>
      </c>
      <c r="D1917">
        <v>38</v>
      </c>
      <c r="E1917">
        <v>4</v>
      </c>
      <c r="F1917">
        <v>5</v>
      </c>
      <c r="G1917" t="s">
        <v>1044</v>
      </c>
      <c r="H1917">
        <f>_xlfn.XLOOKUP(D1917, productos!$A$2:$A$150, productos!$D$2:$D$150, "No Encontrado", 0)</f>
        <v>6.21</v>
      </c>
      <c r="I1917">
        <f t="shared" si="29"/>
        <v>24.84</v>
      </c>
    </row>
    <row r="1918" spans="1:9" x14ac:dyDescent="0.25">
      <c r="A1918">
        <v>1499</v>
      </c>
      <c r="B1918" s="1">
        <v>45516</v>
      </c>
      <c r="C1918">
        <v>262</v>
      </c>
      <c r="D1918">
        <v>32</v>
      </c>
      <c r="E1918">
        <v>1</v>
      </c>
      <c r="F1918">
        <v>4</v>
      </c>
      <c r="G1918" t="s">
        <v>1045</v>
      </c>
      <c r="H1918">
        <f>_xlfn.XLOOKUP(D1918, productos!$A$2:$A$150, productos!$D$2:$D$150, "No Encontrado", 0)</f>
        <v>6.25</v>
      </c>
      <c r="I1918">
        <f t="shared" si="29"/>
        <v>6.25</v>
      </c>
    </row>
    <row r="1919" spans="1:9" x14ac:dyDescent="0.25">
      <c r="A1919">
        <v>2161</v>
      </c>
      <c r="B1919" s="1">
        <v>45516</v>
      </c>
      <c r="C1919">
        <v>280</v>
      </c>
      <c r="D1919">
        <v>16</v>
      </c>
      <c r="E1919">
        <v>1</v>
      </c>
      <c r="F1919">
        <v>4</v>
      </c>
      <c r="G1919" t="s">
        <v>1044</v>
      </c>
      <c r="H1919">
        <f>_xlfn.XLOOKUP(D1919, productos!$A$2:$A$150, productos!$D$2:$D$150, "No Encontrado", 0)</f>
        <v>15.23</v>
      </c>
      <c r="I1919">
        <f t="shared" si="29"/>
        <v>15.23</v>
      </c>
    </row>
    <row r="1920" spans="1:9" x14ac:dyDescent="0.25">
      <c r="A1920">
        <v>2394</v>
      </c>
      <c r="B1920" s="1">
        <v>45516</v>
      </c>
      <c r="C1920">
        <v>94</v>
      </c>
      <c r="D1920">
        <v>34</v>
      </c>
      <c r="E1920">
        <v>1</v>
      </c>
      <c r="F1920">
        <v>2</v>
      </c>
      <c r="G1920" t="s">
        <v>1044</v>
      </c>
      <c r="H1920">
        <f>_xlfn.XLOOKUP(D1920, productos!$A$2:$A$150, productos!$D$2:$D$150, "No Encontrado", 0)</f>
        <v>5.45</v>
      </c>
      <c r="I1920">
        <f t="shared" si="29"/>
        <v>5.45</v>
      </c>
    </row>
    <row r="1921" spans="1:9" x14ac:dyDescent="0.25">
      <c r="A1921">
        <v>2533</v>
      </c>
      <c r="B1921" s="1">
        <v>45516</v>
      </c>
      <c r="C1921">
        <v>12</v>
      </c>
      <c r="D1921">
        <v>21</v>
      </c>
      <c r="E1921">
        <v>1</v>
      </c>
      <c r="F1921">
        <v>1</v>
      </c>
      <c r="G1921" t="s">
        <v>1044</v>
      </c>
      <c r="H1921">
        <f>_xlfn.XLOOKUP(D1921, productos!$A$2:$A$150, productos!$D$2:$D$150, "No Encontrado", 0)</f>
        <v>3.25</v>
      </c>
      <c r="I1921">
        <f t="shared" si="29"/>
        <v>3.25</v>
      </c>
    </row>
    <row r="1922" spans="1:9" x14ac:dyDescent="0.25">
      <c r="A1922">
        <v>2626</v>
      </c>
      <c r="B1922" s="1">
        <v>45516</v>
      </c>
      <c r="C1922">
        <v>321</v>
      </c>
      <c r="D1922">
        <v>10</v>
      </c>
      <c r="E1922">
        <v>2</v>
      </c>
      <c r="F1922">
        <v>5</v>
      </c>
      <c r="G1922" t="s">
        <v>1044</v>
      </c>
      <c r="H1922">
        <f>_xlfn.XLOOKUP(D1922, productos!$A$2:$A$150, productos!$D$2:$D$150, "No Encontrado", 0)</f>
        <v>14.25</v>
      </c>
      <c r="I1922">
        <f t="shared" si="29"/>
        <v>28.5</v>
      </c>
    </row>
    <row r="1923" spans="1:9" x14ac:dyDescent="0.25">
      <c r="A1923">
        <v>2804</v>
      </c>
      <c r="B1923" s="1">
        <v>45516</v>
      </c>
      <c r="C1923">
        <v>11</v>
      </c>
      <c r="D1923">
        <v>1</v>
      </c>
      <c r="E1923">
        <v>1</v>
      </c>
      <c r="F1923">
        <v>5</v>
      </c>
      <c r="G1923" t="s">
        <v>1044</v>
      </c>
      <c r="H1923">
        <f>_xlfn.XLOOKUP(D1923, productos!$A$2:$A$150, productos!$D$2:$D$150, "No Encontrado", 0)</f>
        <v>12.24</v>
      </c>
      <c r="I1923">
        <f t="shared" ref="I1923:I1986" si="30">E1923*H1923</f>
        <v>12.24</v>
      </c>
    </row>
    <row r="1924" spans="1:9" x14ac:dyDescent="0.25">
      <c r="A1924">
        <v>2971</v>
      </c>
      <c r="B1924" s="1">
        <v>45516</v>
      </c>
      <c r="C1924">
        <v>124</v>
      </c>
      <c r="D1924">
        <v>7</v>
      </c>
      <c r="E1924">
        <v>6</v>
      </c>
      <c r="F1924">
        <v>3</v>
      </c>
      <c r="G1924" t="s">
        <v>1044</v>
      </c>
      <c r="H1924">
        <f>_xlfn.XLOOKUP(D1924, productos!$A$2:$A$150, productos!$D$2:$D$150, "No Encontrado", 0)</f>
        <v>11.25</v>
      </c>
      <c r="I1924">
        <f t="shared" si="30"/>
        <v>67.5</v>
      </c>
    </row>
    <row r="1925" spans="1:9" x14ac:dyDescent="0.25">
      <c r="A1925">
        <v>936</v>
      </c>
      <c r="B1925" s="1">
        <v>45517</v>
      </c>
      <c r="C1925">
        <v>98</v>
      </c>
      <c r="D1925">
        <v>2</v>
      </c>
      <c r="E1925">
        <v>2</v>
      </c>
      <c r="F1925">
        <v>4</v>
      </c>
      <c r="G1925" t="s">
        <v>1044</v>
      </c>
      <c r="H1925">
        <f>_xlfn.XLOOKUP(D1925, productos!$A$2:$A$150, productos!$D$2:$D$150, "No Encontrado", 0)</f>
        <v>5.21</v>
      </c>
      <c r="I1925">
        <f t="shared" si="30"/>
        <v>10.42</v>
      </c>
    </row>
    <row r="1926" spans="1:9" x14ac:dyDescent="0.25">
      <c r="A1926">
        <v>1450</v>
      </c>
      <c r="B1926" s="1">
        <v>45517</v>
      </c>
      <c r="C1926">
        <v>98</v>
      </c>
      <c r="D1926">
        <v>12</v>
      </c>
      <c r="E1926">
        <v>2</v>
      </c>
      <c r="F1926">
        <v>2</v>
      </c>
      <c r="G1926" t="s">
        <v>1044</v>
      </c>
      <c r="H1926">
        <f>_xlfn.XLOOKUP(D1926, productos!$A$2:$A$150, productos!$D$2:$D$150, "No Encontrado", 0)</f>
        <v>8.1199999999999992</v>
      </c>
      <c r="I1926">
        <f t="shared" si="30"/>
        <v>16.239999999999998</v>
      </c>
    </row>
    <row r="1927" spans="1:9" x14ac:dyDescent="0.25">
      <c r="A1927">
        <v>1799</v>
      </c>
      <c r="B1927" s="1">
        <v>45517</v>
      </c>
      <c r="C1927">
        <v>325</v>
      </c>
      <c r="D1927">
        <v>19</v>
      </c>
      <c r="E1927">
        <v>2</v>
      </c>
      <c r="F1927">
        <v>3</v>
      </c>
      <c r="G1927" t="s">
        <v>1044</v>
      </c>
      <c r="H1927">
        <f>_xlfn.XLOOKUP(D1927, productos!$A$2:$A$150, productos!$D$2:$D$150, "No Encontrado", 0)</f>
        <v>6.54</v>
      </c>
      <c r="I1927">
        <f t="shared" si="30"/>
        <v>13.08</v>
      </c>
    </row>
    <row r="1928" spans="1:9" x14ac:dyDescent="0.25">
      <c r="A1928">
        <v>1979</v>
      </c>
      <c r="B1928" s="1">
        <v>45517</v>
      </c>
      <c r="C1928">
        <v>185</v>
      </c>
      <c r="D1928">
        <v>21</v>
      </c>
      <c r="E1928">
        <v>3</v>
      </c>
      <c r="F1928">
        <v>5</v>
      </c>
      <c r="G1928" t="s">
        <v>1044</v>
      </c>
      <c r="H1928">
        <f>_xlfn.XLOOKUP(D1928, productos!$A$2:$A$150, productos!$D$2:$D$150, "No Encontrado", 0)</f>
        <v>3.25</v>
      </c>
      <c r="I1928">
        <f t="shared" si="30"/>
        <v>9.75</v>
      </c>
    </row>
    <row r="1929" spans="1:9" x14ac:dyDescent="0.25">
      <c r="A1929">
        <v>2316</v>
      </c>
      <c r="B1929" s="1">
        <v>45517</v>
      </c>
      <c r="C1929">
        <v>197</v>
      </c>
      <c r="D1929">
        <v>11</v>
      </c>
      <c r="E1929">
        <v>1</v>
      </c>
      <c r="F1929">
        <v>4</v>
      </c>
      <c r="G1929" t="s">
        <v>1044</v>
      </c>
      <c r="H1929">
        <f>_xlfn.XLOOKUP(D1929, productos!$A$2:$A$150, productos!$D$2:$D$150, "No Encontrado", 0)</f>
        <v>11.23</v>
      </c>
      <c r="I1929">
        <f t="shared" si="30"/>
        <v>11.23</v>
      </c>
    </row>
    <row r="1930" spans="1:9" x14ac:dyDescent="0.25">
      <c r="A1930">
        <v>2329</v>
      </c>
      <c r="B1930" s="1">
        <v>45517</v>
      </c>
      <c r="C1930">
        <v>145</v>
      </c>
      <c r="D1930">
        <v>30</v>
      </c>
      <c r="E1930">
        <v>1</v>
      </c>
      <c r="F1930">
        <v>5</v>
      </c>
      <c r="G1930" t="s">
        <v>1045</v>
      </c>
      <c r="H1930">
        <f>_xlfn.XLOOKUP(D1930, productos!$A$2:$A$150, productos!$D$2:$D$150, "No Encontrado", 0)</f>
        <v>13.54</v>
      </c>
      <c r="I1930">
        <f t="shared" si="30"/>
        <v>13.54</v>
      </c>
    </row>
    <row r="1931" spans="1:9" x14ac:dyDescent="0.25">
      <c r="A1931">
        <v>2796</v>
      </c>
      <c r="B1931" s="1">
        <v>45517</v>
      </c>
      <c r="C1931">
        <v>94</v>
      </c>
      <c r="D1931">
        <v>27</v>
      </c>
      <c r="E1931">
        <v>4</v>
      </c>
      <c r="F1931">
        <v>3</v>
      </c>
      <c r="G1931" t="s">
        <v>1044</v>
      </c>
      <c r="H1931">
        <f>_xlfn.XLOOKUP(D1931, productos!$A$2:$A$150, productos!$D$2:$D$150, "No Encontrado", 0)</f>
        <v>6.21</v>
      </c>
      <c r="I1931">
        <f t="shared" si="30"/>
        <v>24.84</v>
      </c>
    </row>
    <row r="1932" spans="1:9" x14ac:dyDescent="0.25">
      <c r="A1932">
        <v>2911</v>
      </c>
      <c r="B1932" s="1">
        <v>45517</v>
      </c>
      <c r="C1932">
        <v>140</v>
      </c>
      <c r="D1932">
        <v>22</v>
      </c>
      <c r="E1932">
        <v>3</v>
      </c>
      <c r="F1932">
        <v>1</v>
      </c>
      <c r="G1932" t="s">
        <v>1044</v>
      </c>
      <c r="H1932">
        <f>_xlfn.XLOOKUP(D1932, productos!$A$2:$A$150, productos!$D$2:$D$150, "No Encontrado", 0)</f>
        <v>4.21</v>
      </c>
      <c r="I1932">
        <f t="shared" si="30"/>
        <v>12.629999999999999</v>
      </c>
    </row>
    <row r="1933" spans="1:9" x14ac:dyDescent="0.25">
      <c r="A1933">
        <v>521</v>
      </c>
      <c r="B1933" s="1">
        <v>45518</v>
      </c>
      <c r="C1933">
        <v>140</v>
      </c>
      <c r="D1933">
        <v>26</v>
      </c>
      <c r="E1933">
        <v>6</v>
      </c>
      <c r="F1933">
        <v>4</v>
      </c>
      <c r="G1933" t="s">
        <v>1044</v>
      </c>
      <c r="H1933">
        <f>_xlfn.XLOOKUP(D1933, productos!$A$2:$A$150, productos!$D$2:$D$150, "No Encontrado", 0)</f>
        <v>9.5399999999999991</v>
      </c>
      <c r="I1933">
        <f t="shared" si="30"/>
        <v>57.239999999999995</v>
      </c>
    </row>
    <row r="1934" spans="1:9" x14ac:dyDescent="0.25">
      <c r="A1934">
        <v>987</v>
      </c>
      <c r="B1934" s="1">
        <v>45518</v>
      </c>
      <c r="C1934">
        <v>274</v>
      </c>
      <c r="D1934">
        <v>33</v>
      </c>
      <c r="E1934">
        <v>5</v>
      </c>
      <c r="F1934">
        <v>2</v>
      </c>
      <c r="G1934" t="s">
        <v>1044</v>
      </c>
      <c r="H1934">
        <f>_xlfn.XLOOKUP(D1934, productos!$A$2:$A$150, productos!$D$2:$D$150, "No Encontrado", 0)</f>
        <v>8.5399999999999991</v>
      </c>
      <c r="I1934">
        <f t="shared" si="30"/>
        <v>42.699999999999996</v>
      </c>
    </row>
    <row r="1935" spans="1:9" x14ac:dyDescent="0.25">
      <c r="A1935">
        <v>1147</v>
      </c>
      <c r="B1935" s="1">
        <v>45518</v>
      </c>
      <c r="C1935">
        <v>112</v>
      </c>
      <c r="D1935">
        <v>5</v>
      </c>
      <c r="E1935">
        <v>6</v>
      </c>
      <c r="F1935">
        <v>3</v>
      </c>
      <c r="G1935" t="s">
        <v>1044</v>
      </c>
      <c r="H1935">
        <f>_xlfn.XLOOKUP(D1935, productos!$A$2:$A$150, productos!$D$2:$D$150, "No Encontrado", 0)</f>
        <v>5.65</v>
      </c>
      <c r="I1935">
        <f t="shared" si="30"/>
        <v>33.900000000000006</v>
      </c>
    </row>
    <row r="1936" spans="1:9" x14ac:dyDescent="0.25">
      <c r="A1936">
        <v>1212</v>
      </c>
      <c r="B1936" s="1">
        <v>45518</v>
      </c>
      <c r="C1936">
        <v>58</v>
      </c>
      <c r="D1936">
        <v>20</v>
      </c>
      <c r="E1936">
        <v>5</v>
      </c>
      <c r="F1936">
        <v>1</v>
      </c>
      <c r="G1936" t="s">
        <v>1044</v>
      </c>
      <c r="H1936">
        <f>_xlfn.XLOOKUP(D1936, productos!$A$2:$A$150, productos!$D$2:$D$150, "No Encontrado", 0)</f>
        <v>4.25</v>
      </c>
      <c r="I1936">
        <f t="shared" si="30"/>
        <v>21.25</v>
      </c>
    </row>
    <row r="1937" spans="1:9" x14ac:dyDescent="0.25">
      <c r="A1937">
        <v>1318</v>
      </c>
      <c r="B1937" s="1">
        <v>45518</v>
      </c>
      <c r="C1937">
        <v>219</v>
      </c>
      <c r="D1937">
        <v>13</v>
      </c>
      <c r="E1937">
        <v>1</v>
      </c>
      <c r="F1937">
        <v>4</v>
      </c>
      <c r="G1937" t="s">
        <v>1044</v>
      </c>
      <c r="H1937">
        <f>_xlfn.XLOOKUP(D1937, productos!$A$2:$A$150, productos!$D$2:$D$150, "No Encontrado", 0)</f>
        <v>12.56</v>
      </c>
      <c r="I1937">
        <f t="shared" si="30"/>
        <v>12.56</v>
      </c>
    </row>
    <row r="1938" spans="1:9" x14ac:dyDescent="0.25">
      <c r="A1938">
        <v>1568</v>
      </c>
      <c r="B1938" s="1">
        <v>45518</v>
      </c>
      <c r="C1938">
        <v>148</v>
      </c>
      <c r="D1938">
        <v>6</v>
      </c>
      <c r="E1938">
        <v>2</v>
      </c>
      <c r="F1938">
        <v>3</v>
      </c>
      <c r="G1938" t="s">
        <v>1044</v>
      </c>
      <c r="H1938">
        <f>_xlfn.XLOOKUP(D1938, productos!$A$2:$A$150, productos!$D$2:$D$150, "No Encontrado", 0)</f>
        <v>28.56</v>
      </c>
      <c r="I1938">
        <f t="shared" si="30"/>
        <v>57.12</v>
      </c>
    </row>
    <row r="1939" spans="1:9" x14ac:dyDescent="0.25">
      <c r="A1939">
        <v>1675</v>
      </c>
      <c r="B1939" s="1">
        <v>45518</v>
      </c>
      <c r="C1939">
        <v>304</v>
      </c>
      <c r="D1939">
        <v>31</v>
      </c>
      <c r="E1939">
        <v>4</v>
      </c>
      <c r="F1939">
        <v>4</v>
      </c>
      <c r="G1939" t="s">
        <v>1044</v>
      </c>
      <c r="H1939">
        <f>_xlfn.XLOOKUP(D1939, productos!$A$2:$A$150, productos!$D$2:$D$150, "No Encontrado", 0)</f>
        <v>5.24</v>
      </c>
      <c r="I1939">
        <f t="shared" si="30"/>
        <v>20.96</v>
      </c>
    </row>
    <row r="1940" spans="1:9" x14ac:dyDescent="0.25">
      <c r="A1940">
        <v>1723</v>
      </c>
      <c r="B1940" s="1">
        <v>45518</v>
      </c>
      <c r="C1940">
        <v>320</v>
      </c>
      <c r="D1940">
        <v>20</v>
      </c>
      <c r="E1940">
        <v>3</v>
      </c>
      <c r="F1940">
        <v>3</v>
      </c>
      <c r="G1940" t="s">
        <v>1044</v>
      </c>
      <c r="H1940">
        <f>_xlfn.XLOOKUP(D1940, productos!$A$2:$A$150, productos!$D$2:$D$150, "No Encontrado", 0)</f>
        <v>4.25</v>
      </c>
      <c r="I1940">
        <f t="shared" si="30"/>
        <v>12.75</v>
      </c>
    </row>
    <row r="1941" spans="1:9" x14ac:dyDescent="0.25">
      <c r="A1941">
        <v>1745</v>
      </c>
      <c r="B1941" s="1">
        <v>45518</v>
      </c>
      <c r="C1941">
        <v>294</v>
      </c>
      <c r="D1941">
        <v>17</v>
      </c>
      <c r="E1941">
        <v>1</v>
      </c>
      <c r="F1941">
        <v>5</v>
      </c>
      <c r="G1941" t="s">
        <v>1044</v>
      </c>
      <c r="H1941">
        <f>_xlfn.XLOOKUP(D1941, productos!$A$2:$A$150, productos!$D$2:$D$150, "No Encontrado", 0)</f>
        <v>6.54</v>
      </c>
      <c r="I1941">
        <f t="shared" si="30"/>
        <v>6.54</v>
      </c>
    </row>
    <row r="1942" spans="1:9" x14ac:dyDescent="0.25">
      <c r="A1942">
        <v>1765</v>
      </c>
      <c r="B1942" s="1">
        <v>45518</v>
      </c>
      <c r="C1942">
        <v>307</v>
      </c>
      <c r="D1942">
        <v>24</v>
      </c>
      <c r="E1942">
        <v>2</v>
      </c>
      <c r="F1942">
        <v>5</v>
      </c>
      <c r="G1942" t="s">
        <v>1044</v>
      </c>
      <c r="H1942">
        <f>_xlfn.XLOOKUP(D1942, productos!$A$2:$A$150, productos!$D$2:$D$150, "No Encontrado", 0)</f>
        <v>13.54</v>
      </c>
      <c r="I1942">
        <f t="shared" si="30"/>
        <v>27.08</v>
      </c>
    </row>
    <row r="1943" spans="1:9" x14ac:dyDescent="0.25">
      <c r="A1943">
        <v>2382</v>
      </c>
      <c r="B1943" s="1">
        <v>45518</v>
      </c>
      <c r="C1943">
        <v>326</v>
      </c>
      <c r="D1943">
        <v>22</v>
      </c>
      <c r="E1943">
        <v>3</v>
      </c>
      <c r="F1943">
        <v>1</v>
      </c>
      <c r="G1943" t="s">
        <v>1044</v>
      </c>
      <c r="H1943">
        <f>_xlfn.XLOOKUP(D1943, productos!$A$2:$A$150, productos!$D$2:$D$150, "No Encontrado", 0)</f>
        <v>4.21</v>
      </c>
      <c r="I1943">
        <f t="shared" si="30"/>
        <v>12.629999999999999</v>
      </c>
    </row>
    <row r="1944" spans="1:9" x14ac:dyDescent="0.25">
      <c r="A1944">
        <v>2537</v>
      </c>
      <c r="B1944" s="1">
        <v>45518</v>
      </c>
      <c r="C1944">
        <v>57</v>
      </c>
      <c r="D1944">
        <v>26</v>
      </c>
      <c r="E1944">
        <v>2</v>
      </c>
      <c r="F1944">
        <v>1</v>
      </c>
      <c r="G1944" t="s">
        <v>1044</v>
      </c>
      <c r="H1944">
        <f>_xlfn.XLOOKUP(D1944, productos!$A$2:$A$150, productos!$D$2:$D$150, "No Encontrado", 0)</f>
        <v>9.5399999999999991</v>
      </c>
      <c r="I1944">
        <f t="shared" si="30"/>
        <v>19.079999999999998</v>
      </c>
    </row>
    <row r="1945" spans="1:9" x14ac:dyDescent="0.25">
      <c r="A1945">
        <v>2565</v>
      </c>
      <c r="B1945" s="1">
        <v>45518</v>
      </c>
      <c r="C1945">
        <v>318</v>
      </c>
      <c r="D1945">
        <v>19</v>
      </c>
      <c r="E1945">
        <v>5</v>
      </c>
      <c r="F1945">
        <v>1</v>
      </c>
      <c r="G1945" t="s">
        <v>1044</v>
      </c>
      <c r="H1945">
        <f>_xlfn.XLOOKUP(D1945, productos!$A$2:$A$150, productos!$D$2:$D$150, "No Encontrado", 0)</f>
        <v>6.54</v>
      </c>
      <c r="I1945">
        <f t="shared" si="30"/>
        <v>32.700000000000003</v>
      </c>
    </row>
    <row r="1946" spans="1:9" x14ac:dyDescent="0.25">
      <c r="A1946">
        <v>2762</v>
      </c>
      <c r="B1946" s="1">
        <v>45518</v>
      </c>
      <c r="C1946">
        <v>145</v>
      </c>
      <c r="D1946">
        <v>27</v>
      </c>
      <c r="E1946">
        <v>4</v>
      </c>
      <c r="F1946">
        <v>2</v>
      </c>
      <c r="G1946" t="s">
        <v>1044</v>
      </c>
      <c r="H1946">
        <f>_xlfn.XLOOKUP(D1946, productos!$A$2:$A$150, productos!$D$2:$D$150, "No Encontrado", 0)</f>
        <v>6.21</v>
      </c>
      <c r="I1946">
        <f t="shared" si="30"/>
        <v>24.84</v>
      </c>
    </row>
    <row r="1947" spans="1:9" x14ac:dyDescent="0.25">
      <c r="A1947">
        <v>403</v>
      </c>
      <c r="B1947" s="1">
        <v>45519</v>
      </c>
      <c r="C1947">
        <v>300</v>
      </c>
      <c r="D1947">
        <v>35</v>
      </c>
      <c r="E1947">
        <v>6</v>
      </c>
      <c r="F1947">
        <v>4</v>
      </c>
      <c r="G1947" t="s">
        <v>1044</v>
      </c>
      <c r="H1947">
        <f>_xlfn.XLOOKUP(D1947, productos!$A$2:$A$150, productos!$D$2:$D$150, "No Encontrado", 0)</f>
        <v>4.25</v>
      </c>
      <c r="I1947">
        <f t="shared" si="30"/>
        <v>25.5</v>
      </c>
    </row>
    <row r="1948" spans="1:9" x14ac:dyDescent="0.25">
      <c r="A1948">
        <v>413</v>
      </c>
      <c r="B1948" s="1">
        <v>45519</v>
      </c>
      <c r="C1948">
        <v>137</v>
      </c>
      <c r="D1948">
        <v>3</v>
      </c>
      <c r="E1948">
        <v>1</v>
      </c>
      <c r="F1948">
        <v>2</v>
      </c>
      <c r="G1948" t="s">
        <v>1044</v>
      </c>
      <c r="H1948">
        <f>_xlfn.XLOOKUP(D1948, productos!$A$2:$A$150, productos!$D$2:$D$150, "No Encontrado", 0)</f>
        <v>17.23</v>
      </c>
      <c r="I1948">
        <f t="shared" si="30"/>
        <v>17.23</v>
      </c>
    </row>
    <row r="1949" spans="1:9" x14ac:dyDescent="0.25">
      <c r="A1949">
        <v>1471</v>
      </c>
      <c r="B1949" s="1">
        <v>45519</v>
      </c>
      <c r="C1949">
        <v>123</v>
      </c>
      <c r="D1949">
        <v>25</v>
      </c>
      <c r="E1949">
        <v>5</v>
      </c>
      <c r="F1949">
        <v>5</v>
      </c>
      <c r="G1949" t="s">
        <v>1044</v>
      </c>
      <c r="H1949">
        <f>_xlfn.XLOOKUP(D1949, productos!$A$2:$A$150, productos!$D$2:$D$150, "No Encontrado", 0)</f>
        <v>15.45</v>
      </c>
      <c r="I1949">
        <f t="shared" si="30"/>
        <v>77.25</v>
      </c>
    </row>
    <row r="1950" spans="1:9" x14ac:dyDescent="0.25">
      <c r="A1950">
        <v>1845</v>
      </c>
      <c r="B1950" s="1">
        <v>45519</v>
      </c>
      <c r="C1950">
        <v>70</v>
      </c>
      <c r="D1950">
        <v>26</v>
      </c>
      <c r="E1950">
        <v>1</v>
      </c>
      <c r="F1950">
        <v>4</v>
      </c>
      <c r="G1950" t="s">
        <v>1044</v>
      </c>
      <c r="H1950">
        <f>_xlfn.XLOOKUP(D1950, productos!$A$2:$A$150, productos!$D$2:$D$150, "No Encontrado", 0)</f>
        <v>9.5399999999999991</v>
      </c>
      <c r="I1950">
        <f t="shared" si="30"/>
        <v>9.5399999999999991</v>
      </c>
    </row>
    <row r="1951" spans="1:9" x14ac:dyDescent="0.25">
      <c r="A1951">
        <v>2015</v>
      </c>
      <c r="B1951" s="1">
        <v>45519</v>
      </c>
      <c r="C1951">
        <v>33</v>
      </c>
      <c r="D1951">
        <v>5</v>
      </c>
      <c r="E1951">
        <v>5</v>
      </c>
      <c r="F1951">
        <v>5</v>
      </c>
      <c r="G1951" t="s">
        <v>1044</v>
      </c>
      <c r="H1951">
        <f>_xlfn.XLOOKUP(D1951, productos!$A$2:$A$150, productos!$D$2:$D$150, "No Encontrado", 0)</f>
        <v>5.65</v>
      </c>
      <c r="I1951">
        <f t="shared" si="30"/>
        <v>28.25</v>
      </c>
    </row>
    <row r="1952" spans="1:9" x14ac:dyDescent="0.25">
      <c r="A1952">
        <v>2348</v>
      </c>
      <c r="B1952" s="1">
        <v>45519</v>
      </c>
      <c r="C1952">
        <v>138</v>
      </c>
      <c r="D1952">
        <v>15</v>
      </c>
      <c r="E1952">
        <v>6</v>
      </c>
      <c r="F1952">
        <v>1</v>
      </c>
      <c r="G1952" t="s">
        <v>1044</v>
      </c>
      <c r="H1952">
        <f>_xlfn.XLOOKUP(D1952, productos!$A$2:$A$150, productos!$D$2:$D$150, "No Encontrado", 0)</f>
        <v>3.51</v>
      </c>
      <c r="I1952">
        <f t="shared" si="30"/>
        <v>21.06</v>
      </c>
    </row>
    <row r="1953" spans="1:9" x14ac:dyDescent="0.25">
      <c r="A1953">
        <v>2936</v>
      </c>
      <c r="B1953" s="1">
        <v>45519</v>
      </c>
      <c r="C1953">
        <v>241</v>
      </c>
      <c r="D1953">
        <v>25</v>
      </c>
      <c r="E1953">
        <v>2</v>
      </c>
      <c r="F1953">
        <v>4</v>
      </c>
      <c r="G1953" t="s">
        <v>1044</v>
      </c>
      <c r="H1953">
        <f>_xlfn.XLOOKUP(D1953, productos!$A$2:$A$150, productos!$D$2:$D$150, "No Encontrado", 0)</f>
        <v>15.45</v>
      </c>
      <c r="I1953">
        <f t="shared" si="30"/>
        <v>30.9</v>
      </c>
    </row>
    <row r="1954" spans="1:9" x14ac:dyDescent="0.25">
      <c r="A1954">
        <v>388</v>
      </c>
      <c r="B1954" s="1">
        <v>45520</v>
      </c>
      <c r="C1954">
        <v>222</v>
      </c>
      <c r="D1954">
        <v>31</v>
      </c>
      <c r="E1954">
        <v>3</v>
      </c>
      <c r="F1954">
        <v>5</v>
      </c>
      <c r="G1954" t="s">
        <v>1044</v>
      </c>
      <c r="H1954">
        <f>_xlfn.XLOOKUP(D1954, productos!$A$2:$A$150, productos!$D$2:$D$150, "No Encontrado", 0)</f>
        <v>5.24</v>
      </c>
      <c r="I1954">
        <f t="shared" si="30"/>
        <v>15.72</v>
      </c>
    </row>
    <row r="1955" spans="1:9" x14ac:dyDescent="0.25">
      <c r="A1955">
        <v>540</v>
      </c>
      <c r="B1955" s="1">
        <v>45520</v>
      </c>
      <c r="C1955">
        <v>26</v>
      </c>
      <c r="D1955">
        <v>16</v>
      </c>
      <c r="E1955">
        <v>4</v>
      </c>
      <c r="F1955">
        <v>3</v>
      </c>
      <c r="G1955" t="s">
        <v>1044</v>
      </c>
      <c r="H1955">
        <f>_xlfn.XLOOKUP(D1955, productos!$A$2:$A$150, productos!$D$2:$D$150, "No Encontrado", 0)</f>
        <v>15.23</v>
      </c>
      <c r="I1955">
        <f t="shared" si="30"/>
        <v>60.92</v>
      </c>
    </row>
    <row r="1956" spans="1:9" x14ac:dyDescent="0.25">
      <c r="A1956">
        <v>575</v>
      </c>
      <c r="B1956" s="1">
        <v>45520</v>
      </c>
      <c r="C1956">
        <v>112</v>
      </c>
      <c r="D1956">
        <v>6</v>
      </c>
      <c r="E1956">
        <v>1</v>
      </c>
      <c r="F1956">
        <v>4</v>
      </c>
      <c r="G1956" t="s">
        <v>1044</v>
      </c>
      <c r="H1956">
        <f>_xlfn.XLOOKUP(D1956, productos!$A$2:$A$150, productos!$D$2:$D$150, "No Encontrado", 0)</f>
        <v>28.56</v>
      </c>
      <c r="I1956">
        <f t="shared" si="30"/>
        <v>28.56</v>
      </c>
    </row>
    <row r="1957" spans="1:9" x14ac:dyDescent="0.25">
      <c r="A1957">
        <v>757</v>
      </c>
      <c r="B1957" s="1">
        <v>45520</v>
      </c>
      <c r="C1957">
        <v>52</v>
      </c>
      <c r="D1957">
        <v>4</v>
      </c>
      <c r="E1957">
        <v>6</v>
      </c>
      <c r="F1957">
        <v>4</v>
      </c>
      <c r="G1957" t="s">
        <v>1044</v>
      </c>
      <c r="H1957">
        <f>_xlfn.XLOOKUP(D1957, productos!$A$2:$A$150, productos!$D$2:$D$150, "No Encontrado", 0)</f>
        <v>19.23</v>
      </c>
      <c r="I1957">
        <f t="shared" si="30"/>
        <v>115.38</v>
      </c>
    </row>
    <row r="1958" spans="1:9" x14ac:dyDescent="0.25">
      <c r="A1958">
        <v>1438</v>
      </c>
      <c r="B1958" s="1">
        <v>45520</v>
      </c>
      <c r="C1958">
        <v>101</v>
      </c>
      <c r="D1958">
        <v>16</v>
      </c>
      <c r="E1958">
        <v>6</v>
      </c>
      <c r="F1958">
        <v>3</v>
      </c>
      <c r="G1958" t="s">
        <v>1044</v>
      </c>
      <c r="H1958">
        <f>_xlfn.XLOOKUP(D1958, productos!$A$2:$A$150, productos!$D$2:$D$150, "No Encontrado", 0)</f>
        <v>15.23</v>
      </c>
      <c r="I1958">
        <f t="shared" si="30"/>
        <v>91.38</v>
      </c>
    </row>
    <row r="1959" spans="1:9" x14ac:dyDescent="0.25">
      <c r="A1959">
        <v>2130</v>
      </c>
      <c r="B1959" s="1">
        <v>45520</v>
      </c>
      <c r="C1959">
        <v>286</v>
      </c>
      <c r="D1959">
        <v>15</v>
      </c>
      <c r="E1959">
        <v>4</v>
      </c>
      <c r="F1959">
        <v>3</v>
      </c>
      <c r="G1959" t="s">
        <v>1044</v>
      </c>
      <c r="H1959">
        <f>_xlfn.XLOOKUP(D1959, productos!$A$2:$A$150, productos!$D$2:$D$150, "No Encontrado", 0)</f>
        <v>3.51</v>
      </c>
      <c r="I1959">
        <f t="shared" si="30"/>
        <v>14.04</v>
      </c>
    </row>
    <row r="1960" spans="1:9" x14ac:dyDescent="0.25">
      <c r="A1960">
        <v>1189</v>
      </c>
      <c r="B1960" s="1">
        <v>45521</v>
      </c>
      <c r="C1960">
        <v>31</v>
      </c>
      <c r="D1960">
        <v>10</v>
      </c>
      <c r="E1960">
        <v>5</v>
      </c>
      <c r="F1960">
        <v>5</v>
      </c>
      <c r="G1960" t="s">
        <v>1044</v>
      </c>
      <c r="H1960">
        <f>_xlfn.XLOOKUP(D1960, productos!$A$2:$A$150, productos!$D$2:$D$150, "No Encontrado", 0)</f>
        <v>14.25</v>
      </c>
      <c r="I1960">
        <f t="shared" si="30"/>
        <v>71.25</v>
      </c>
    </row>
    <row r="1961" spans="1:9" x14ac:dyDescent="0.25">
      <c r="A1961">
        <v>1339</v>
      </c>
      <c r="B1961" s="1">
        <v>45521</v>
      </c>
      <c r="C1961">
        <v>279</v>
      </c>
      <c r="D1961">
        <v>2</v>
      </c>
      <c r="E1961">
        <v>3</v>
      </c>
      <c r="F1961">
        <v>5</v>
      </c>
      <c r="G1961" t="s">
        <v>1044</v>
      </c>
      <c r="H1961">
        <f>_xlfn.XLOOKUP(D1961, productos!$A$2:$A$150, productos!$D$2:$D$150, "No Encontrado", 0)</f>
        <v>5.21</v>
      </c>
      <c r="I1961">
        <f t="shared" si="30"/>
        <v>15.629999999999999</v>
      </c>
    </row>
    <row r="1962" spans="1:9" x14ac:dyDescent="0.25">
      <c r="A1962">
        <v>1553</v>
      </c>
      <c r="B1962" s="1">
        <v>45521</v>
      </c>
      <c r="C1962">
        <v>25</v>
      </c>
      <c r="D1962">
        <v>8</v>
      </c>
      <c r="E1962">
        <v>5</v>
      </c>
      <c r="F1962">
        <v>5</v>
      </c>
      <c r="G1962" t="s">
        <v>1044</v>
      </c>
      <c r="H1962">
        <f>_xlfn.XLOOKUP(D1962, productos!$A$2:$A$150, productos!$D$2:$D$150, "No Encontrado", 0)</f>
        <v>16.21</v>
      </c>
      <c r="I1962">
        <f t="shared" si="30"/>
        <v>81.050000000000011</v>
      </c>
    </row>
    <row r="1963" spans="1:9" x14ac:dyDescent="0.25">
      <c r="A1963">
        <v>1558</v>
      </c>
      <c r="B1963" s="1">
        <v>45521</v>
      </c>
      <c r="C1963">
        <v>318</v>
      </c>
      <c r="D1963">
        <v>23</v>
      </c>
      <c r="E1963">
        <v>1</v>
      </c>
      <c r="F1963">
        <v>5</v>
      </c>
      <c r="G1963" t="s">
        <v>1044</v>
      </c>
      <c r="H1963">
        <f>_xlfn.XLOOKUP(D1963, productos!$A$2:$A$150, productos!$D$2:$D$150, "No Encontrado", 0)</f>
        <v>8.23</v>
      </c>
      <c r="I1963">
        <f t="shared" si="30"/>
        <v>8.23</v>
      </c>
    </row>
    <row r="1964" spans="1:9" x14ac:dyDescent="0.25">
      <c r="A1964">
        <v>2622</v>
      </c>
      <c r="B1964" s="1">
        <v>45521</v>
      </c>
      <c r="C1964">
        <v>27</v>
      </c>
      <c r="D1964">
        <v>35</v>
      </c>
      <c r="E1964">
        <v>4</v>
      </c>
      <c r="F1964">
        <v>5</v>
      </c>
      <c r="G1964" t="s">
        <v>1044</v>
      </c>
      <c r="H1964">
        <f>_xlfn.XLOOKUP(D1964, productos!$A$2:$A$150, productos!$D$2:$D$150, "No Encontrado", 0)</f>
        <v>4.25</v>
      </c>
      <c r="I1964">
        <f t="shared" si="30"/>
        <v>17</v>
      </c>
    </row>
    <row r="1965" spans="1:9" x14ac:dyDescent="0.25">
      <c r="A1965">
        <v>816</v>
      </c>
      <c r="B1965" s="1">
        <v>45522</v>
      </c>
      <c r="C1965">
        <v>111</v>
      </c>
      <c r="D1965">
        <v>8</v>
      </c>
      <c r="E1965">
        <v>3</v>
      </c>
      <c r="F1965">
        <v>3</v>
      </c>
      <c r="G1965" t="s">
        <v>1045</v>
      </c>
      <c r="H1965">
        <f>_xlfn.XLOOKUP(D1965, productos!$A$2:$A$150, productos!$D$2:$D$150, "No Encontrado", 0)</f>
        <v>16.21</v>
      </c>
      <c r="I1965">
        <f t="shared" si="30"/>
        <v>48.63</v>
      </c>
    </row>
    <row r="1966" spans="1:9" x14ac:dyDescent="0.25">
      <c r="A1966">
        <v>829</v>
      </c>
      <c r="B1966" s="1">
        <v>45522</v>
      </c>
      <c r="C1966">
        <v>234</v>
      </c>
      <c r="D1966">
        <v>20</v>
      </c>
      <c r="E1966">
        <v>3</v>
      </c>
      <c r="F1966">
        <v>4</v>
      </c>
      <c r="G1966" t="s">
        <v>1044</v>
      </c>
      <c r="H1966">
        <f>_xlfn.XLOOKUP(D1966, productos!$A$2:$A$150, productos!$D$2:$D$150, "No Encontrado", 0)</f>
        <v>4.25</v>
      </c>
      <c r="I1966">
        <f t="shared" si="30"/>
        <v>12.75</v>
      </c>
    </row>
    <row r="1967" spans="1:9" x14ac:dyDescent="0.25">
      <c r="A1967">
        <v>1094</v>
      </c>
      <c r="B1967" s="1">
        <v>45522</v>
      </c>
      <c r="C1967">
        <v>98</v>
      </c>
      <c r="D1967">
        <v>36</v>
      </c>
      <c r="E1967">
        <v>2</v>
      </c>
      <c r="F1967">
        <v>1</v>
      </c>
      <c r="G1967" t="s">
        <v>1045</v>
      </c>
      <c r="H1967">
        <f>_xlfn.XLOOKUP(D1967, productos!$A$2:$A$150, productos!$D$2:$D$150, "No Encontrado", 0)</f>
        <v>3.25</v>
      </c>
      <c r="I1967">
        <f t="shared" si="30"/>
        <v>6.5</v>
      </c>
    </row>
    <row r="1968" spans="1:9" x14ac:dyDescent="0.25">
      <c r="A1968">
        <v>1891</v>
      </c>
      <c r="B1968" s="1">
        <v>45522</v>
      </c>
      <c r="C1968">
        <v>83</v>
      </c>
      <c r="D1968">
        <v>32</v>
      </c>
      <c r="E1968">
        <v>5</v>
      </c>
      <c r="F1968">
        <v>3</v>
      </c>
      <c r="G1968" t="s">
        <v>1044</v>
      </c>
      <c r="H1968">
        <f>_xlfn.XLOOKUP(D1968, productos!$A$2:$A$150, productos!$D$2:$D$150, "No Encontrado", 0)</f>
        <v>6.25</v>
      </c>
      <c r="I1968">
        <f t="shared" si="30"/>
        <v>31.25</v>
      </c>
    </row>
    <row r="1969" spans="1:9" x14ac:dyDescent="0.25">
      <c r="A1969">
        <v>2021</v>
      </c>
      <c r="B1969" s="1">
        <v>45522</v>
      </c>
      <c r="C1969">
        <v>240</v>
      </c>
      <c r="D1969">
        <v>37</v>
      </c>
      <c r="E1969">
        <v>3</v>
      </c>
      <c r="F1969">
        <v>2</v>
      </c>
      <c r="G1969" t="s">
        <v>1044</v>
      </c>
      <c r="H1969">
        <f>_xlfn.XLOOKUP(D1969, productos!$A$2:$A$150, productos!$D$2:$D$150, "No Encontrado", 0)</f>
        <v>3.65</v>
      </c>
      <c r="I1969">
        <f t="shared" si="30"/>
        <v>10.95</v>
      </c>
    </row>
    <row r="1970" spans="1:9" x14ac:dyDescent="0.25">
      <c r="A1970">
        <v>2056</v>
      </c>
      <c r="B1970" s="1">
        <v>45522</v>
      </c>
      <c r="C1970">
        <v>320</v>
      </c>
      <c r="D1970">
        <v>36</v>
      </c>
      <c r="E1970">
        <v>6</v>
      </c>
      <c r="F1970">
        <v>4</v>
      </c>
      <c r="G1970" t="s">
        <v>1045</v>
      </c>
      <c r="H1970">
        <f>_xlfn.XLOOKUP(D1970, productos!$A$2:$A$150, productos!$D$2:$D$150, "No Encontrado", 0)</f>
        <v>3.25</v>
      </c>
      <c r="I1970">
        <f t="shared" si="30"/>
        <v>19.5</v>
      </c>
    </row>
    <row r="1971" spans="1:9" x14ac:dyDescent="0.25">
      <c r="A1971">
        <v>2556</v>
      </c>
      <c r="B1971" s="1">
        <v>45522</v>
      </c>
      <c r="C1971">
        <v>162</v>
      </c>
      <c r="D1971">
        <v>26</v>
      </c>
      <c r="E1971">
        <v>4</v>
      </c>
      <c r="F1971">
        <v>1</v>
      </c>
      <c r="G1971" t="s">
        <v>1044</v>
      </c>
      <c r="H1971">
        <f>_xlfn.XLOOKUP(D1971, productos!$A$2:$A$150, productos!$D$2:$D$150, "No Encontrado", 0)</f>
        <v>9.5399999999999991</v>
      </c>
      <c r="I1971">
        <f t="shared" si="30"/>
        <v>38.159999999999997</v>
      </c>
    </row>
    <row r="1972" spans="1:9" x14ac:dyDescent="0.25">
      <c r="A1972">
        <v>633</v>
      </c>
      <c r="B1972" s="1">
        <v>45523</v>
      </c>
      <c r="C1972">
        <v>121</v>
      </c>
      <c r="D1972">
        <v>28</v>
      </c>
      <c r="E1972">
        <v>3</v>
      </c>
      <c r="F1972">
        <v>4</v>
      </c>
      <c r="G1972" t="s">
        <v>1044</v>
      </c>
      <c r="H1972">
        <f>_xlfn.XLOOKUP(D1972, productos!$A$2:$A$150, productos!$D$2:$D$150, "No Encontrado", 0)</f>
        <v>9.4499999999999993</v>
      </c>
      <c r="I1972">
        <f t="shared" si="30"/>
        <v>28.349999999999998</v>
      </c>
    </row>
    <row r="1973" spans="1:9" x14ac:dyDescent="0.25">
      <c r="A1973">
        <v>1109</v>
      </c>
      <c r="B1973" s="1">
        <v>45523</v>
      </c>
      <c r="C1973">
        <v>287</v>
      </c>
      <c r="D1973">
        <v>29</v>
      </c>
      <c r="E1973">
        <v>1</v>
      </c>
      <c r="F1973">
        <v>3</v>
      </c>
      <c r="G1973" t="s">
        <v>1044</v>
      </c>
      <c r="H1973">
        <f>_xlfn.XLOOKUP(D1973, productos!$A$2:$A$150, productos!$D$2:$D$150, "No Encontrado", 0)</f>
        <v>11.54</v>
      </c>
      <c r="I1973">
        <f t="shared" si="30"/>
        <v>11.54</v>
      </c>
    </row>
    <row r="1974" spans="1:9" x14ac:dyDescent="0.25">
      <c r="A1974">
        <v>1122</v>
      </c>
      <c r="B1974" s="1">
        <v>45523</v>
      </c>
      <c r="C1974">
        <v>313</v>
      </c>
      <c r="D1974">
        <v>19</v>
      </c>
      <c r="E1974">
        <v>2</v>
      </c>
      <c r="F1974">
        <v>4</v>
      </c>
      <c r="G1974" t="s">
        <v>1045</v>
      </c>
      <c r="H1974">
        <f>_xlfn.XLOOKUP(D1974, productos!$A$2:$A$150, productos!$D$2:$D$150, "No Encontrado", 0)</f>
        <v>6.54</v>
      </c>
      <c r="I1974">
        <f t="shared" si="30"/>
        <v>13.08</v>
      </c>
    </row>
    <row r="1975" spans="1:9" x14ac:dyDescent="0.25">
      <c r="A1975">
        <v>1458</v>
      </c>
      <c r="B1975" s="1">
        <v>45523</v>
      </c>
      <c r="C1975">
        <v>73</v>
      </c>
      <c r="D1975">
        <v>8</v>
      </c>
      <c r="E1975">
        <v>2</v>
      </c>
      <c r="F1975">
        <v>2</v>
      </c>
      <c r="G1975" t="s">
        <v>1044</v>
      </c>
      <c r="H1975">
        <f>_xlfn.XLOOKUP(D1975, productos!$A$2:$A$150, productos!$D$2:$D$150, "No Encontrado", 0)</f>
        <v>16.21</v>
      </c>
      <c r="I1975">
        <f t="shared" si="30"/>
        <v>32.42</v>
      </c>
    </row>
    <row r="1976" spans="1:9" x14ac:dyDescent="0.25">
      <c r="A1976">
        <v>1663</v>
      </c>
      <c r="B1976" s="1">
        <v>45523</v>
      </c>
      <c r="C1976">
        <v>191</v>
      </c>
      <c r="D1976">
        <v>2</v>
      </c>
      <c r="E1976">
        <v>1</v>
      </c>
      <c r="F1976">
        <v>3</v>
      </c>
      <c r="G1976" t="s">
        <v>1044</v>
      </c>
      <c r="H1976">
        <f>_xlfn.XLOOKUP(D1976, productos!$A$2:$A$150, productos!$D$2:$D$150, "No Encontrado", 0)</f>
        <v>5.21</v>
      </c>
      <c r="I1976">
        <f t="shared" si="30"/>
        <v>5.21</v>
      </c>
    </row>
    <row r="1977" spans="1:9" x14ac:dyDescent="0.25">
      <c r="A1977">
        <v>1880</v>
      </c>
      <c r="B1977" s="1">
        <v>45523</v>
      </c>
      <c r="C1977">
        <v>269</v>
      </c>
      <c r="D1977">
        <v>29</v>
      </c>
      <c r="E1977">
        <v>3</v>
      </c>
      <c r="F1977">
        <v>3</v>
      </c>
      <c r="G1977" t="s">
        <v>1044</v>
      </c>
      <c r="H1977">
        <f>_xlfn.XLOOKUP(D1977, productos!$A$2:$A$150, productos!$D$2:$D$150, "No Encontrado", 0)</f>
        <v>11.54</v>
      </c>
      <c r="I1977">
        <f t="shared" si="30"/>
        <v>34.619999999999997</v>
      </c>
    </row>
    <row r="1978" spans="1:9" x14ac:dyDescent="0.25">
      <c r="A1978">
        <v>2108</v>
      </c>
      <c r="B1978" s="1">
        <v>45523</v>
      </c>
      <c r="C1978">
        <v>246</v>
      </c>
      <c r="D1978">
        <v>20</v>
      </c>
      <c r="E1978">
        <v>2</v>
      </c>
      <c r="F1978">
        <v>5</v>
      </c>
      <c r="G1978" t="s">
        <v>1044</v>
      </c>
      <c r="H1978">
        <f>_xlfn.XLOOKUP(D1978, productos!$A$2:$A$150, productos!$D$2:$D$150, "No Encontrado", 0)</f>
        <v>4.25</v>
      </c>
      <c r="I1978">
        <f t="shared" si="30"/>
        <v>8.5</v>
      </c>
    </row>
    <row r="1979" spans="1:9" x14ac:dyDescent="0.25">
      <c r="A1979">
        <v>2216</v>
      </c>
      <c r="B1979" s="1">
        <v>45523</v>
      </c>
      <c r="C1979">
        <v>42</v>
      </c>
      <c r="D1979">
        <v>32</v>
      </c>
      <c r="E1979">
        <v>4</v>
      </c>
      <c r="F1979">
        <v>1</v>
      </c>
      <c r="G1979" t="s">
        <v>1044</v>
      </c>
      <c r="H1979">
        <f>_xlfn.XLOOKUP(D1979, productos!$A$2:$A$150, productos!$D$2:$D$150, "No Encontrado", 0)</f>
        <v>6.25</v>
      </c>
      <c r="I1979">
        <f t="shared" si="30"/>
        <v>25</v>
      </c>
    </row>
    <row r="1980" spans="1:9" x14ac:dyDescent="0.25">
      <c r="A1980">
        <v>2454</v>
      </c>
      <c r="B1980" s="1">
        <v>45523</v>
      </c>
      <c r="C1980">
        <v>218</v>
      </c>
      <c r="D1980">
        <v>17</v>
      </c>
      <c r="E1980">
        <v>2</v>
      </c>
      <c r="F1980">
        <v>3</v>
      </c>
      <c r="G1980" t="s">
        <v>1045</v>
      </c>
      <c r="H1980">
        <f>_xlfn.XLOOKUP(D1980, productos!$A$2:$A$150, productos!$D$2:$D$150, "No Encontrado", 0)</f>
        <v>6.54</v>
      </c>
      <c r="I1980">
        <f t="shared" si="30"/>
        <v>13.08</v>
      </c>
    </row>
    <row r="1981" spans="1:9" x14ac:dyDescent="0.25">
      <c r="A1981">
        <v>1443</v>
      </c>
      <c r="B1981" s="1">
        <v>45524</v>
      </c>
      <c r="C1981">
        <v>168</v>
      </c>
      <c r="D1981">
        <v>1</v>
      </c>
      <c r="E1981">
        <v>6</v>
      </c>
      <c r="F1981">
        <v>4</v>
      </c>
      <c r="G1981" t="s">
        <v>1044</v>
      </c>
      <c r="H1981">
        <f>_xlfn.XLOOKUP(D1981, productos!$A$2:$A$150, productos!$D$2:$D$150, "No Encontrado", 0)</f>
        <v>12.24</v>
      </c>
      <c r="I1981">
        <f t="shared" si="30"/>
        <v>73.44</v>
      </c>
    </row>
    <row r="1982" spans="1:9" x14ac:dyDescent="0.25">
      <c r="A1982">
        <v>1859</v>
      </c>
      <c r="B1982" s="1">
        <v>45524</v>
      </c>
      <c r="C1982">
        <v>57</v>
      </c>
      <c r="D1982">
        <v>11</v>
      </c>
      <c r="E1982">
        <v>6</v>
      </c>
      <c r="F1982">
        <v>4</v>
      </c>
      <c r="G1982" t="s">
        <v>1045</v>
      </c>
      <c r="H1982">
        <f>_xlfn.XLOOKUP(D1982, productos!$A$2:$A$150, productos!$D$2:$D$150, "No Encontrado", 0)</f>
        <v>11.23</v>
      </c>
      <c r="I1982">
        <f t="shared" si="30"/>
        <v>67.38</v>
      </c>
    </row>
    <row r="1983" spans="1:9" x14ac:dyDescent="0.25">
      <c r="A1983">
        <v>2044</v>
      </c>
      <c r="B1983" s="1">
        <v>45524</v>
      </c>
      <c r="C1983">
        <v>246</v>
      </c>
      <c r="D1983">
        <v>8</v>
      </c>
      <c r="E1983">
        <v>5</v>
      </c>
      <c r="F1983">
        <v>1</v>
      </c>
      <c r="G1983" t="s">
        <v>1044</v>
      </c>
      <c r="H1983">
        <f>_xlfn.XLOOKUP(D1983, productos!$A$2:$A$150, productos!$D$2:$D$150, "No Encontrado", 0)</f>
        <v>16.21</v>
      </c>
      <c r="I1983">
        <f t="shared" si="30"/>
        <v>81.050000000000011</v>
      </c>
    </row>
    <row r="1984" spans="1:9" x14ac:dyDescent="0.25">
      <c r="A1984">
        <v>2165</v>
      </c>
      <c r="B1984" s="1">
        <v>45524</v>
      </c>
      <c r="C1984">
        <v>106</v>
      </c>
      <c r="D1984">
        <v>30</v>
      </c>
      <c r="E1984">
        <v>6</v>
      </c>
      <c r="F1984">
        <v>1</v>
      </c>
      <c r="G1984" t="s">
        <v>1044</v>
      </c>
      <c r="H1984">
        <f>_xlfn.XLOOKUP(D1984, productos!$A$2:$A$150, productos!$D$2:$D$150, "No Encontrado", 0)</f>
        <v>13.54</v>
      </c>
      <c r="I1984">
        <f t="shared" si="30"/>
        <v>81.239999999999995</v>
      </c>
    </row>
    <row r="1985" spans="1:9" x14ac:dyDescent="0.25">
      <c r="A1985">
        <v>2415</v>
      </c>
      <c r="B1985" s="1">
        <v>45524</v>
      </c>
      <c r="C1985">
        <v>108</v>
      </c>
      <c r="D1985">
        <v>12</v>
      </c>
      <c r="E1985">
        <v>5</v>
      </c>
      <c r="F1985">
        <v>4</v>
      </c>
      <c r="G1985" t="s">
        <v>1044</v>
      </c>
      <c r="H1985">
        <f>_xlfn.XLOOKUP(D1985, productos!$A$2:$A$150, productos!$D$2:$D$150, "No Encontrado", 0)</f>
        <v>8.1199999999999992</v>
      </c>
      <c r="I1985">
        <f t="shared" si="30"/>
        <v>40.599999999999994</v>
      </c>
    </row>
    <row r="1986" spans="1:9" x14ac:dyDescent="0.25">
      <c r="A1986">
        <v>2701</v>
      </c>
      <c r="B1986" s="1">
        <v>45524</v>
      </c>
      <c r="C1986">
        <v>169</v>
      </c>
      <c r="D1986">
        <v>19</v>
      </c>
      <c r="E1986">
        <v>1</v>
      </c>
      <c r="F1986">
        <v>4</v>
      </c>
      <c r="G1986" t="s">
        <v>1044</v>
      </c>
      <c r="H1986">
        <f>_xlfn.XLOOKUP(D1986, productos!$A$2:$A$150, productos!$D$2:$D$150, "No Encontrado", 0)</f>
        <v>6.54</v>
      </c>
      <c r="I1986">
        <f t="shared" si="30"/>
        <v>6.54</v>
      </c>
    </row>
    <row r="1987" spans="1:9" x14ac:dyDescent="0.25">
      <c r="A1987">
        <v>358</v>
      </c>
      <c r="B1987" s="1">
        <v>45525</v>
      </c>
      <c r="C1987">
        <v>193</v>
      </c>
      <c r="D1987">
        <v>4</v>
      </c>
      <c r="E1987">
        <v>6</v>
      </c>
      <c r="F1987">
        <v>3</v>
      </c>
      <c r="G1987" t="s">
        <v>1044</v>
      </c>
      <c r="H1987">
        <f>_xlfn.XLOOKUP(D1987, productos!$A$2:$A$150, productos!$D$2:$D$150, "No Encontrado", 0)</f>
        <v>19.23</v>
      </c>
      <c r="I1987">
        <f t="shared" ref="I1987:I2050" si="31">E1987*H1987</f>
        <v>115.38</v>
      </c>
    </row>
    <row r="1988" spans="1:9" x14ac:dyDescent="0.25">
      <c r="A1988">
        <v>583</v>
      </c>
      <c r="B1988" s="1">
        <v>45525</v>
      </c>
      <c r="C1988">
        <v>7</v>
      </c>
      <c r="D1988">
        <v>27</v>
      </c>
      <c r="E1988">
        <v>3</v>
      </c>
      <c r="F1988">
        <v>4</v>
      </c>
      <c r="G1988" t="s">
        <v>1045</v>
      </c>
      <c r="H1988">
        <f>_xlfn.XLOOKUP(D1988, productos!$A$2:$A$150, productos!$D$2:$D$150, "No Encontrado", 0)</f>
        <v>6.21</v>
      </c>
      <c r="I1988">
        <f t="shared" si="31"/>
        <v>18.63</v>
      </c>
    </row>
    <row r="1989" spans="1:9" x14ac:dyDescent="0.25">
      <c r="A1989">
        <v>716</v>
      </c>
      <c r="B1989" s="1">
        <v>45525</v>
      </c>
      <c r="C1989">
        <v>289</v>
      </c>
      <c r="D1989">
        <v>29</v>
      </c>
      <c r="E1989">
        <v>3</v>
      </c>
      <c r="F1989">
        <v>1</v>
      </c>
      <c r="G1989" t="s">
        <v>1044</v>
      </c>
      <c r="H1989">
        <f>_xlfn.XLOOKUP(D1989, productos!$A$2:$A$150, productos!$D$2:$D$150, "No Encontrado", 0)</f>
        <v>11.54</v>
      </c>
      <c r="I1989">
        <f t="shared" si="31"/>
        <v>34.619999999999997</v>
      </c>
    </row>
    <row r="1990" spans="1:9" x14ac:dyDescent="0.25">
      <c r="A1990">
        <v>994</v>
      </c>
      <c r="B1990" s="1">
        <v>45525</v>
      </c>
      <c r="C1990">
        <v>102</v>
      </c>
      <c r="D1990">
        <v>24</v>
      </c>
      <c r="E1990">
        <v>3</v>
      </c>
      <c r="F1990">
        <v>3</v>
      </c>
      <c r="G1990" t="s">
        <v>1044</v>
      </c>
      <c r="H1990">
        <f>_xlfn.XLOOKUP(D1990, productos!$A$2:$A$150, productos!$D$2:$D$150, "No Encontrado", 0)</f>
        <v>13.54</v>
      </c>
      <c r="I1990">
        <f t="shared" si="31"/>
        <v>40.619999999999997</v>
      </c>
    </row>
    <row r="1991" spans="1:9" x14ac:dyDescent="0.25">
      <c r="A1991">
        <v>1862</v>
      </c>
      <c r="B1991" s="1">
        <v>45525</v>
      </c>
      <c r="C1991">
        <v>26</v>
      </c>
      <c r="D1991">
        <v>31</v>
      </c>
      <c r="E1991">
        <v>2</v>
      </c>
      <c r="F1991">
        <v>4</v>
      </c>
      <c r="G1991" t="s">
        <v>1044</v>
      </c>
      <c r="H1991">
        <f>_xlfn.XLOOKUP(D1991, productos!$A$2:$A$150, productos!$D$2:$D$150, "No Encontrado", 0)</f>
        <v>5.24</v>
      </c>
      <c r="I1991">
        <f t="shared" si="31"/>
        <v>10.48</v>
      </c>
    </row>
    <row r="1992" spans="1:9" x14ac:dyDescent="0.25">
      <c r="A1992">
        <v>2381</v>
      </c>
      <c r="B1992" s="1">
        <v>45525</v>
      </c>
      <c r="C1992">
        <v>79</v>
      </c>
      <c r="D1992">
        <v>5</v>
      </c>
      <c r="E1992">
        <v>3</v>
      </c>
      <c r="F1992">
        <v>4</v>
      </c>
      <c r="G1992" t="s">
        <v>1044</v>
      </c>
      <c r="H1992">
        <f>_xlfn.XLOOKUP(D1992, productos!$A$2:$A$150, productos!$D$2:$D$150, "No Encontrado", 0)</f>
        <v>5.65</v>
      </c>
      <c r="I1992">
        <f t="shared" si="31"/>
        <v>16.950000000000003</v>
      </c>
    </row>
    <row r="1993" spans="1:9" x14ac:dyDescent="0.25">
      <c r="A1993">
        <v>2625</v>
      </c>
      <c r="B1993" s="1">
        <v>45525</v>
      </c>
      <c r="C1993">
        <v>188</v>
      </c>
      <c r="D1993">
        <v>35</v>
      </c>
      <c r="E1993">
        <v>5</v>
      </c>
      <c r="F1993">
        <v>4</v>
      </c>
      <c r="G1993" t="s">
        <v>1044</v>
      </c>
      <c r="H1993">
        <f>_xlfn.XLOOKUP(D1993, productos!$A$2:$A$150, productos!$D$2:$D$150, "No Encontrado", 0)</f>
        <v>4.25</v>
      </c>
      <c r="I1993">
        <f t="shared" si="31"/>
        <v>21.25</v>
      </c>
    </row>
    <row r="1994" spans="1:9" x14ac:dyDescent="0.25">
      <c r="A1994">
        <v>2681</v>
      </c>
      <c r="B1994" s="1">
        <v>45525</v>
      </c>
      <c r="C1994">
        <v>62</v>
      </c>
      <c r="D1994">
        <v>37</v>
      </c>
      <c r="E1994">
        <v>2</v>
      </c>
      <c r="F1994">
        <v>4</v>
      </c>
      <c r="G1994" t="s">
        <v>1044</v>
      </c>
      <c r="H1994">
        <f>_xlfn.XLOOKUP(D1994, productos!$A$2:$A$150, productos!$D$2:$D$150, "No Encontrado", 0)</f>
        <v>3.65</v>
      </c>
      <c r="I1994">
        <f t="shared" si="31"/>
        <v>7.3</v>
      </c>
    </row>
    <row r="1995" spans="1:9" x14ac:dyDescent="0.25">
      <c r="A1995">
        <v>2722</v>
      </c>
      <c r="B1995" s="1">
        <v>45525</v>
      </c>
      <c r="C1995">
        <v>145</v>
      </c>
      <c r="D1995">
        <v>33</v>
      </c>
      <c r="E1995">
        <v>1</v>
      </c>
      <c r="F1995">
        <v>2</v>
      </c>
      <c r="G1995" t="s">
        <v>1044</v>
      </c>
      <c r="H1995">
        <f>_xlfn.XLOOKUP(D1995, productos!$A$2:$A$150, productos!$D$2:$D$150, "No Encontrado", 0)</f>
        <v>8.5399999999999991</v>
      </c>
      <c r="I1995">
        <f t="shared" si="31"/>
        <v>8.5399999999999991</v>
      </c>
    </row>
    <row r="1996" spans="1:9" x14ac:dyDescent="0.25">
      <c r="A1996">
        <v>2934</v>
      </c>
      <c r="B1996" s="1">
        <v>45525</v>
      </c>
      <c r="C1996">
        <v>36</v>
      </c>
      <c r="D1996">
        <v>31</v>
      </c>
      <c r="E1996">
        <v>3</v>
      </c>
      <c r="F1996">
        <v>3</v>
      </c>
      <c r="G1996" t="s">
        <v>1045</v>
      </c>
      <c r="H1996">
        <f>_xlfn.XLOOKUP(D1996, productos!$A$2:$A$150, productos!$D$2:$D$150, "No Encontrado", 0)</f>
        <v>5.24</v>
      </c>
      <c r="I1996">
        <f t="shared" si="31"/>
        <v>15.72</v>
      </c>
    </row>
    <row r="1997" spans="1:9" x14ac:dyDescent="0.25">
      <c r="A1997">
        <v>346</v>
      </c>
      <c r="B1997" s="1">
        <v>45526</v>
      </c>
      <c r="C1997">
        <v>92</v>
      </c>
      <c r="D1997">
        <v>34</v>
      </c>
      <c r="E1997">
        <v>4</v>
      </c>
      <c r="F1997">
        <v>4</v>
      </c>
      <c r="G1997" t="s">
        <v>1044</v>
      </c>
      <c r="H1997">
        <f>_xlfn.XLOOKUP(D1997, productos!$A$2:$A$150, productos!$D$2:$D$150, "No Encontrado", 0)</f>
        <v>5.45</v>
      </c>
      <c r="I1997">
        <f t="shared" si="31"/>
        <v>21.8</v>
      </c>
    </row>
    <row r="1998" spans="1:9" x14ac:dyDescent="0.25">
      <c r="A1998">
        <v>479</v>
      </c>
      <c r="B1998" s="1">
        <v>45526</v>
      </c>
      <c r="C1998">
        <v>23</v>
      </c>
      <c r="D1998">
        <v>28</v>
      </c>
      <c r="E1998">
        <v>4</v>
      </c>
      <c r="F1998">
        <v>4</v>
      </c>
      <c r="G1998" t="s">
        <v>1044</v>
      </c>
      <c r="H1998">
        <f>_xlfn.XLOOKUP(D1998, productos!$A$2:$A$150, productos!$D$2:$D$150, "No Encontrado", 0)</f>
        <v>9.4499999999999993</v>
      </c>
      <c r="I1998">
        <f t="shared" si="31"/>
        <v>37.799999999999997</v>
      </c>
    </row>
    <row r="1999" spans="1:9" x14ac:dyDescent="0.25">
      <c r="A1999">
        <v>498</v>
      </c>
      <c r="B1999" s="1">
        <v>45526</v>
      </c>
      <c r="C1999">
        <v>299</v>
      </c>
      <c r="D1999">
        <v>20</v>
      </c>
      <c r="E1999">
        <v>6</v>
      </c>
      <c r="F1999">
        <v>3</v>
      </c>
      <c r="G1999" t="s">
        <v>1044</v>
      </c>
      <c r="H1999">
        <f>_xlfn.XLOOKUP(D1999, productos!$A$2:$A$150, productos!$D$2:$D$150, "No Encontrado", 0)</f>
        <v>4.25</v>
      </c>
      <c r="I1999">
        <f t="shared" si="31"/>
        <v>25.5</v>
      </c>
    </row>
    <row r="2000" spans="1:9" x14ac:dyDescent="0.25">
      <c r="A2000">
        <v>565</v>
      </c>
      <c r="B2000" s="1">
        <v>45526</v>
      </c>
      <c r="C2000">
        <v>244</v>
      </c>
      <c r="D2000">
        <v>19</v>
      </c>
      <c r="E2000">
        <v>1</v>
      </c>
      <c r="F2000">
        <v>5</v>
      </c>
      <c r="G2000" t="s">
        <v>1044</v>
      </c>
      <c r="H2000">
        <f>_xlfn.XLOOKUP(D2000, productos!$A$2:$A$150, productos!$D$2:$D$150, "No Encontrado", 0)</f>
        <v>6.54</v>
      </c>
      <c r="I2000">
        <f t="shared" si="31"/>
        <v>6.54</v>
      </c>
    </row>
    <row r="2001" spans="1:9" x14ac:dyDescent="0.25">
      <c r="A2001">
        <v>725</v>
      </c>
      <c r="B2001" s="1">
        <v>45526</v>
      </c>
      <c r="C2001">
        <v>234</v>
      </c>
      <c r="D2001">
        <v>21</v>
      </c>
      <c r="E2001">
        <v>2</v>
      </c>
      <c r="F2001">
        <v>3</v>
      </c>
      <c r="G2001" t="s">
        <v>1044</v>
      </c>
      <c r="H2001">
        <f>_xlfn.XLOOKUP(D2001, productos!$A$2:$A$150, productos!$D$2:$D$150, "No Encontrado", 0)</f>
        <v>3.25</v>
      </c>
      <c r="I2001">
        <f t="shared" si="31"/>
        <v>6.5</v>
      </c>
    </row>
    <row r="2002" spans="1:9" x14ac:dyDescent="0.25">
      <c r="A2002">
        <v>1213</v>
      </c>
      <c r="B2002" s="1">
        <v>45526</v>
      </c>
      <c r="C2002">
        <v>95</v>
      </c>
      <c r="D2002">
        <v>26</v>
      </c>
      <c r="E2002">
        <v>4</v>
      </c>
      <c r="F2002">
        <v>3</v>
      </c>
      <c r="G2002" t="s">
        <v>1044</v>
      </c>
      <c r="H2002">
        <f>_xlfn.XLOOKUP(D2002, productos!$A$2:$A$150, productos!$D$2:$D$150, "No Encontrado", 0)</f>
        <v>9.5399999999999991</v>
      </c>
      <c r="I2002">
        <f t="shared" si="31"/>
        <v>38.159999999999997</v>
      </c>
    </row>
    <row r="2003" spans="1:9" x14ac:dyDescent="0.25">
      <c r="A2003">
        <v>2299</v>
      </c>
      <c r="B2003" s="1">
        <v>45526</v>
      </c>
      <c r="C2003">
        <v>236</v>
      </c>
      <c r="D2003">
        <v>34</v>
      </c>
      <c r="E2003">
        <v>6</v>
      </c>
      <c r="F2003">
        <v>5</v>
      </c>
      <c r="G2003" t="s">
        <v>1044</v>
      </c>
      <c r="H2003">
        <f>_xlfn.XLOOKUP(D2003, productos!$A$2:$A$150, productos!$D$2:$D$150, "No Encontrado", 0)</f>
        <v>5.45</v>
      </c>
      <c r="I2003">
        <f t="shared" si="31"/>
        <v>32.700000000000003</v>
      </c>
    </row>
    <row r="2004" spans="1:9" x14ac:dyDescent="0.25">
      <c r="A2004">
        <v>2515</v>
      </c>
      <c r="B2004" s="1">
        <v>45526</v>
      </c>
      <c r="C2004">
        <v>79</v>
      </c>
      <c r="D2004">
        <v>8</v>
      </c>
      <c r="E2004">
        <v>1</v>
      </c>
      <c r="F2004">
        <v>5</v>
      </c>
      <c r="G2004" t="s">
        <v>1044</v>
      </c>
      <c r="H2004">
        <f>_xlfn.XLOOKUP(D2004, productos!$A$2:$A$150, productos!$D$2:$D$150, "No Encontrado", 0)</f>
        <v>16.21</v>
      </c>
      <c r="I2004">
        <f t="shared" si="31"/>
        <v>16.21</v>
      </c>
    </row>
    <row r="2005" spans="1:9" x14ac:dyDescent="0.25">
      <c r="A2005">
        <v>2980</v>
      </c>
      <c r="B2005" s="1">
        <v>45526</v>
      </c>
      <c r="C2005">
        <v>301</v>
      </c>
      <c r="D2005">
        <v>14</v>
      </c>
      <c r="E2005">
        <v>3</v>
      </c>
      <c r="F2005">
        <v>1</v>
      </c>
      <c r="G2005" t="s">
        <v>1044</v>
      </c>
      <c r="H2005">
        <f>_xlfn.XLOOKUP(D2005, productos!$A$2:$A$150, productos!$D$2:$D$150, "No Encontrado", 0)</f>
        <v>12.36</v>
      </c>
      <c r="I2005">
        <f t="shared" si="31"/>
        <v>37.08</v>
      </c>
    </row>
    <row r="2006" spans="1:9" x14ac:dyDescent="0.25">
      <c r="A2006">
        <v>1591</v>
      </c>
      <c r="B2006" s="1">
        <v>45527</v>
      </c>
      <c r="C2006">
        <v>311</v>
      </c>
      <c r="D2006">
        <v>20</v>
      </c>
      <c r="E2006">
        <v>3</v>
      </c>
      <c r="F2006">
        <v>4</v>
      </c>
      <c r="G2006" t="s">
        <v>1045</v>
      </c>
      <c r="H2006">
        <f>_xlfn.XLOOKUP(D2006, productos!$A$2:$A$150, productos!$D$2:$D$150, "No Encontrado", 0)</f>
        <v>4.25</v>
      </c>
      <c r="I2006">
        <f t="shared" si="31"/>
        <v>12.75</v>
      </c>
    </row>
    <row r="2007" spans="1:9" x14ac:dyDescent="0.25">
      <c r="A2007">
        <v>1640</v>
      </c>
      <c r="B2007" s="1">
        <v>45527</v>
      </c>
      <c r="C2007">
        <v>128</v>
      </c>
      <c r="D2007">
        <v>34</v>
      </c>
      <c r="E2007">
        <v>3</v>
      </c>
      <c r="F2007">
        <v>5</v>
      </c>
      <c r="G2007" t="s">
        <v>1044</v>
      </c>
      <c r="H2007">
        <f>_xlfn.XLOOKUP(D2007, productos!$A$2:$A$150, productos!$D$2:$D$150, "No Encontrado", 0)</f>
        <v>5.45</v>
      </c>
      <c r="I2007">
        <f t="shared" si="31"/>
        <v>16.350000000000001</v>
      </c>
    </row>
    <row r="2008" spans="1:9" x14ac:dyDescent="0.25">
      <c r="A2008">
        <v>1793</v>
      </c>
      <c r="B2008" s="1">
        <v>45527</v>
      </c>
      <c r="C2008">
        <v>275</v>
      </c>
      <c r="D2008">
        <v>6</v>
      </c>
      <c r="E2008">
        <v>6</v>
      </c>
      <c r="F2008">
        <v>4</v>
      </c>
      <c r="G2008" t="s">
        <v>1044</v>
      </c>
      <c r="H2008">
        <f>_xlfn.XLOOKUP(D2008, productos!$A$2:$A$150, productos!$D$2:$D$150, "No Encontrado", 0)</f>
        <v>28.56</v>
      </c>
      <c r="I2008">
        <f t="shared" si="31"/>
        <v>171.35999999999999</v>
      </c>
    </row>
    <row r="2009" spans="1:9" x14ac:dyDescent="0.25">
      <c r="A2009">
        <v>2531</v>
      </c>
      <c r="B2009" s="1">
        <v>45527</v>
      </c>
      <c r="C2009">
        <v>274</v>
      </c>
      <c r="D2009">
        <v>35</v>
      </c>
      <c r="E2009">
        <v>2</v>
      </c>
      <c r="F2009">
        <v>3</v>
      </c>
      <c r="G2009" t="s">
        <v>1044</v>
      </c>
      <c r="H2009">
        <f>_xlfn.XLOOKUP(D2009, productos!$A$2:$A$150, productos!$D$2:$D$150, "No Encontrado", 0)</f>
        <v>4.25</v>
      </c>
      <c r="I2009">
        <f t="shared" si="31"/>
        <v>8.5</v>
      </c>
    </row>
    <row r="2010" spans="1:9" x14ac:dyDescent="0.25">
      <c r="A2010">
        <v>2839</v>
      </c>
      <c r="B2010" s="1">
        <v>45527</v>
      </c>
      <c r="C2010">
        <v>54</v>
      </c>
      <c r="D2010">
        <v>37</v>
      </c>
      <c r="E2010">
        <v>6</v>
      </c>
      <c r="F2010">
        <v>3</v>
      </c>
      <c r="G2010" t="s">
        <v>1044</v>
      </c>
      <c r="H2010">
        <f>_xlfn.XLOOKUP(D2010, productos!$A$2:$A$150, productos!$D$2:$D$150, "No Encontrado", 0)</f>
        <v>3.65</v>
      </c>
      <c r="I2010">
        <f t="shared" si="31"/>
        <v>21.9</v>
      </c>
    </row>
    <row r="2011" spans="1:9" x14ac:dyDescent="0.25">
      <c r="A2011">
        <v>2870</v>
      </c>
      <c r="B2011" s="1">
        <v>45527</v>
      </c>
      <c r="C2011">
        <v>149</v>
      </c>
      <c r="D2011">
        <v>18</v>
      </c>
      <c r="E2011">
        <v>3</v>
      </c>
      <c r="F2011">
        <v>2</v>
      </c>
      <c r="G2011" t="s">
        <v>1044</v>
      </c>
      <c r="H2011">
        <f>_xlfn.XLOOKUP(D2011, productos!$A$2:$A$150, productos!$D$2:$D$150, "No Encontrado", 0)</f>
        <v>7.25</v>
      </c>
      <c r="I2011">
        <f t="shared" si="31"/>
        <v>21.75</v>
      </c>
    </row>
    <row r="2012" spans="1:9" x14ac:dyDescent="0.25">
      <c r="A2012">
        <v>732</v>
      </c>
      <c r="B2012" s="1">
        <v>45528</v>
      </c>
      <c r="C2012">
        <v>155</v>
      </c>
      <c r="D2012">
        <v>13</v>
      </c>
      <c r="E2012">
        <v>6</v>
      </c>
      <c r="F2012">
        <v>1</v>
      </c>
      <c r="G2012" t="s">
        <v>1044</v>
      </c>
      <c r="H2012">
        <f>_xlfn.XLOOKUP(D2012, productos!$A$2:$A$150, productos!$D$2:$D$150, "No Encontrado", 0)</f>
        <v>12.56</v>
      </c>
      <c r="I2012">
        <f t="shared" si="31"/>
        <v>75.36</v>
      </c>
    </row>
    <row r="2013" spans="1:9" x14ac:dyDescent="0.25">
      <c r="A2013">
        <v>926</v>
      </c>
      <c r="B2013" s="1">
        <v>45528</v>
      </c>
      <c r="C2013">
        <v>55</v>
      </c>
      <c r="D2013">
        <v>25</v>
      </c>
      <c r="E2013">
        <v>2</v>
      </c>
      <c r="F2013">
        <v>5</v>
      </c>
      <c r="G2013" t="s">
        <v>1044</v>
      </c>
      <c r="H2013">
        <f>_xlfn.XLOOKUP(D2013, productos!$A$2:$A$150, productos!$D$2:$D$150, "No Encontrado", 0)</f>
        <v>15.45</v>
      </c>
      <c r="I2013">
        <f t="shared" si="31"/>
        <v>30.9</v>
      </c>
    </row>
    <row r="2014" spans="1:9" x14ac:dyDescent="0.25">
      <c r="A2014">
        <v>1061</v>
      </c>
      <c r="B2014" s="1">
        <v>45528</v>
      </c>
      <c r="C2014">
        <v>320</v>
      </c>
      <c r="D2014">
        <v>14</v>
      </c>
      <c r="E2014">
        <v>4</v>
      </c>
      <c r="F2014">
        <v>4</v>
      </c>
      <c r="G2014" t="s">
        <v>1044</v>
      </c>
      <c r="H2014">
        <f>_xlfn.XLOOKUP(D2014, productos!$A$2:$A$150, productos!$D$2:$D$150, "No Encontrado", 0)</f>
        <v>12.36</v>
      </c>
      <c r="I2014">
        <f t="shared" si="31"/>
        <v>49.44</v>
      </c>
    </row>
    <row r="2015" spans="1:9" x14ac:dyDescent="0.25">
      <c r="A2015">
        <v>1981</v>
      </c>
      <c r="B2015" s="1">
        <v>45528</v>
      </c>
      <c r="C2015">
        <v>70</v>
      </c>
      <c r="D2015">
        <v>35</v>
      </c>
      <c r="E2015">
        <v>5</v>
      </c>
      <c r="F2015">
        <v>1</v>
      </c>
      <c r="G2015" t="s">
        <v>1044</v>
      </c>
      <c r="H2015">
        <f>_xlfn.XLOOKUP(D2015, productos!$A$2:$A$150, productos!$D$2:$D$150, "No Encontrado", 0)</f>
        <v>4.25</v>
      </c>
      <c r="I2015">
        <f t="shared" si="31"/>
        <v>21.25</v>
      </c>
    </row>
    <row r="2016" spans="1:9" x14ac:dyDescent="0.25">
      <c r="A2016">
        <v>520</v>
      </c>
      <c r="B2016" s="1">
        <v>45529</v>
      </c>
      <c r="C2016">
        <v>208</v>
      </c>
      <c r="D2016">
        <v>33</v>
      </c>
      <c r="E2016">
        <v>4</v>
      </c>
      <c r="F2016">
        <v>4</v>
      </c>
      <c r="G2016" t="s">
        <v>1044</v>
      </c>
      <c r="H2016">
        <f>_xlfn.XLOOKUP(D2016, productos!$A$2:$A$150, productos!$D$2:$D$150, "No Encontrado", 0)</f>
        <v>8.5399999999999991</v>
      </c>
      <c r="I2016">
        <f t="shared" si="31"/>
        <v>34.159999999999997</v>
      </c>
    </row>
    <row r="2017" spans="1:9" x14ac:dyDescent="0.25">
      <c r="A2017">
        <v>639</v>
      </c>
      <c r="B2017" s="1">
        <v>45529</v>
      </c>
      <c r="C2017">
        <v>279</v>
      </c>
      <c r="D2017">
        <v>29</v>
      </c>
      <c r="E2017">
        <v>3</v>
      </c>
      <c r="F2017">
        <v>1</v>
      </c>
      <c r="G2017" t="s">
        <v>1044</v>
      </c>
      <c r="H2017">
        <f>_xlfn.XLOOKUP(D2017, productos!$A$2:$A$150, productos!$D$2:$D$150, "No Encontrado", 0)</f>
        <v>11.54</v>
      </c>
      <c r="I2017">
        <f t="shared" si="31"/>
        <v>34.619999999999997</v>
      </c>
    </row>
    <row r="2018" spans="1:9" x14ac:dyDescent="0.25">
      <c r="A2018">
        <v>917</v>
      </c>
      <c r="B2018" s="1">
        <v>45529</v>
      </c>
      <c r="C2018">
        <v>275</v>
      </c>
      <c r="D2018">
        <v>13</v>
      </c>
      <c r="E2018">
        <v>6</v>
      </c>
      <c r="F2018">
        <v>1</v>
      </c>
      <c r="G2018" t="s">
        <v>1044</v>
      </c>
      <c r="H2018">
        <f>_xlfn.XLOOKUP(D2018, productos!$A$2:$A$150, productos!$D$2:$D$150, "No Encontrado", 0)</f>
        <v>12.56</v>
      </c>
      <c r="I2018">
        <f t="shared" si="31"/>
        <v>75.36</v>
      </c>
    </row>
    <row r="2019" spans="1:9" x14ac:dyDescent="0.25">
      <c r="A2019">
        <v>1049</v>
      </c>
      <c r="B2019" s="1">
        <v>45529</v>
      </c>
      <c r="C2019">
        <v>263</v>
      </c>
      <c r="D2019">
        <v>25</v>
      </c>
      <c r="E2019">
        <v>4</v>
      </c>
      <c r="F2019">
        <v>4</v>
      </c>
      <c r="G2019" t="s">
        <v>1044</v>
      </c>
      <c r="H2019">
        <f>_xlfn.XLOOKUP(D2019, productos!$A$2:$A$150, productos!$D$2:$D$150, "No Encontrado", 0)</f>
        <v>15.45</v>
      </c>
      <c r="I2019">
        <f t="shared" si="31"/>
        <v>61.8</v>
      </c>
    </row>
    <row r="2020" spans="1:9" x14ac:dyDescent="0.25">
      <c r="A2020">
        <v>1245</v>
      </c>
      <c r="B2020" s="1">
        <v>45529</v>
      </c>
      <c r="C2020">
        <v>316</v>
      </c>
      <c r="D2020">
        <v>29</v>
      </c>
      <c r="E2020">
        <v>3</v>
      </c>
      <c r="F2020">
        <v>3</v>
      </c>
      <c r="G2020" t="s">
        <v>1044</v>
      </c>
      <c r="H2020">
        <f>_xlfn.XLOOKUP(D2020, productos!$A$2:$A$150, productos!$D$2:$D$150, "No Encontrado", 0)</f>
        <v>11.54</v>
      </c>
      <c r="I2020">
        <f t="shared" si="31"/>
        <v>34.619999999999997</v>
      </c>
    </row>
    <row r="2021" spans="1:9" x14ac:dyDescent="0.25">
      <c r="A2021">
        <v>1310</v>
      </c>
      <c r="B2021" s="1">
        <v>45529</v>
      </c>
      <c r="C2021">
        <v>179</v>
      </c>
      <c r="D2021">
        <v>23</v>
      </c>
      <c r="E2021">
        <v>6</v>
      </c>
      <c r="F2021">
        <v>2</v>
      </c>
      <c r="G2021" t="s">
        <v>1044</v>
      </c>
      <c r="H2021">
        <f>_xlfn.XLOOKUP(D2021, productos!$A$2:$A$150, productos!$D$2:$D$150, "No Encontrado", 0)</f>
        <v>8.23</v>
      </c>
      <c r="I2021">
        <f t="shared" si="31"/>
        <v>49.38</v>
      </c>
    </row>
    <row r="2022" spans="1:9" x14ac:dyDescent="0.25">
      <c r="A2022">
        <v>1381</v>
      </c>
      <c r="B2022" s="1">
        <v>45529</v>
      </c>
      <c r="C2022">
        <v>161</v>
      </c>
      <c r="D2022">
        <v>20</v>
      </c>
      <c r="E2022">
        <v>3</v>
      </c>
      <c r="F2022">
        <v>2</v>
      </c>
      <c r="G2022" t="s">
        <v>1044</v>
      </c>
      <c r="H2022">
        <f>_xlfn.XLOOKUP(D2022, productos!$A$2:$A$150, productos!$D$2:$D$150, "No Encontrado", 0)</f>
        <v>4.25</v>
      </c>
      <c r="I2022">
        <f t="shared" si="31"/>
        <v>12.75</v>
      </c>
    </row>
    <row r="2023" spans="1:9" x14ac:dyDescent="0.25">
      <c r="A2023">
        <v>2424</v>
      </c>
      <c r="B2023" s="1">
        <v>45529</v>
      </c>
      <c r="C2023">
        <v>61</v>
      </c>
      <c r="D2023">
        <v>14</v>
      </c>
      <c r="E2023">
        <v>3</v>
      </c>
      <c r="F2023">
        <v>3</v>
      </c>
      <c r="G2023" t="s">
        <v>1044</v>
      </c>
      <c r="H2023">
        <f>_xlfn.XLOOKUP(D2023, productos!$A$2:$A$150, productos!$D$2:$D$150, "No Encontrado", 0)</f>
        <v>12.36</v>
      </c>
      <c r="I2023">
        <f t="shared" si="31"/>
        <v>37.08</v>
      </c>
    </row>
    <row r="2024" spans="1:9" x14ac:dyDescent="0.25">
      <c r="A2024">
        <v>2677</v>
      </c>
      <c r="B2024" s="1">
        <v>45529</v>
      </c>
      <c r="C2024">
        <v>118</v>
      </c>
      <c r="D2024">
        <v>33</v>
      </c>
      <c r="E2024">
        <v>2</v>
      </c>
      <c r="F2024">
        <v>5</v>
      </c>
      <c r="G2024" t="s">
        <v>1044</v>
      </c>
      <c r="H2024">
        <f>_xlfn.XLOOKUP(D2024, productos!$A$2:$A$150, productos!$D$2:$D$150, "No Encontrado", 0)</f>
        <v>8.5399999999999991</v>
      </c>
      <c r="I2024">
        <f t="shared" si="31"/>
        <v>17.079999999999998</v>
      </c>
    </row>
    <row r="2025" spans="1:9" x14ac:dyDescent="0.25">
      <c r="A2025">
        <v>508</v>
      </c>
      <c r="B2025" s="1">
        <v>45530</v>
      </c>
      <c r="C2025">
        <v>14</v>
      </c>
      <c r="D2025">
        <v>32</v>
      </c>
      <c r="E2025">
        <v>3</v>
      </c>
      <c r="F2025">
        <v>4</v>
      </c>
      <c r="G2025" t="s">
        <v>1044</v>
      </c>
      <c r="H2025">
        <f>_xlfn.XLOOKUP(D2025, productos!$A$2:$A$150, productos!$D$2:$D$150, "No Encontrado", 0)</f>
        <v>6.25</v>
      </c>
      <c r="I2025">
        <f t="shared" si="31"/>
        <v>18.75</v>
      </c>
    </row>
    <row r="2026" spans="1:9" x14ac:dyDescent="0.25">
      <c r="A2026">
        <v>640</v>
      </c>
      <c r="B2026" s="1">
        <v>45530</v>
      </c>
      <c r="C2026">
        <v>316</v>
      </c>
      <c r="D2026">
        <v>28</v>
      </c>
      <c r="E2026">
        <v>1</v>
      </c>
      <c r="F2026">
        <v>3</v>
      </c>
      <c r="G2026" t="s">
        <v>1044</v>
      </c>
      <c r="H2026">
        <f>_xlfn.XLOOKUP(D2026, productos!$A$2:$A$150, productos!$D$2:$D$150, "No Encontrado", 0)</f>
        <v>9.4499999999999993</v>
      </c>
      <c r="I2026">
        <f t="shared" si="31"/>
        <v>9.4499999999999993</v>
      </c>
    </row>
    <row r="2027" spans="1:9" x14ac:dyDescent="0.25">
      <c r="A2027">
        <v>719</v>
      </c>
      <c r="B2027" s="1">
        <v>45530</v>
      </c>
      <c r="C2027">
        <v>148</v>
      </c>
      <c r="D2027">
        <v>17</v>
      </c>
      <c r="E2027">
        <v>6</v>
      </c>
      <c r="F2027">
        <v>5</v>
      </c>
      <c r="G2027" t="s">
        <v>1044</v>
      </c>
      <c r="H2027">
        <f>_xlfn.XLOOKUP(D2027, productos!$A$2:$A$150, productos!$D$2:$D$150, "No Encontrado", 0)</f>
        <v>6.54</v>
      </c>
      <c r="I2027">
        <f t="shared" si="31"/>
        <v>39.24</v>
      </c>
    </row>
    <row r="2028" spans="1:9" x14ac:dyDescent="0.25">
      <c r="A2028">
        <v>1257</v>
      </c>
      <c r="B2028" s="1">
        <v>45530</v>
      </c>
      <c r="C2028">
        <v>15</v>
      </c>
      <c r="D2028">
        <v>6</v>
      </c>
      <c r="E2028">
        <v>4</v>
      </c>
      <c r="F2028">
        <v>5</v>
      </c>
      <c r="G2028" t="s">
        <v>1044</v>
      </c>
      <c r="H2028">
        <f>_xlfn.XLOOKUP(D2028, productos!$A$2:$A$150, productos!$D$2:$D$150, "No Encontrado", 0)</f>
        <v>28.56</v>
      </c>
      <c r="I2028">
        <f t="shared" si="31"/>
        <v>114.24</v>
      </c>
    </row>
    <row r="2029" spans="1:9" x14ac:dyDescent="0.25">
      <c r="A2029">
        <v>1419</v>
      </c>
      <c r="B2029" s="1">
        <v>45530</v>
      </c>
      <c r="C2029">
        <v>278</v>
      </c>
      <c r="D2029">
        <v>22</v>
      </c>
      <c r="E2029">
        <v>3</v>
      </c>
      <c r="F2029">
        <v>1</v>
      </c>
      <c r="G2029" t="s">
        <v>1044</v>
      </c>
      <c r="H2029">
        <f>_xlfn.XLOOKUP(D2029, productos!$A$2:$A$150, productos!$D$2:$D$150, "No Encontrado", 0)</f>
        <v>4.21</v>
      </c>
      <c r="I2029">
        <f t="shared" si="31"/>
        <v>12.629999999999999</v>
      </c>
    </row>
    <row r="2030" spans="1:9" x14ac:dyDescent="0.25">
      <c r="A2030">
        <v>1486</v>
      </c>
      <c r="B2030" s="1">
        <v>45530</v>
      </c>
      <c r="C2030">
        <v>313</v>
      </c>
      <c r="D2030">
        <v>5</v>
      </c>
      <c r="E2030">
        <v>3</v>
      </c>
      <c r="F2030">
        <v>1</v>
      </c>
      <c r="G2030" t="s">
        <v>1044</v>
      </c>
      <c r="H2030">
        <f>_xlfn.XLOOKUP(D2030, productos!$A$2:$A$150, productos!$D$2:$D$150, "No Encontrado", 0)</f>
        <v>5.65</v>
      </c>
      <c r="I2030">
        <f t="shared" si="31"/>
        <v>16.950000000000003</v>
      </c>
    </row>
    <row r="2031" spans="1:9" x14ac:dyDescent="0.25">
      <c r="A2031">
        <v>2166</v>
      </c>
      <c r="B2031" s="1">
        <v>45530</v>
      </c>
      <c r="C2031">
        <v>153</v>
      </c>
      <c r="D2031">
        <v>36</v>
      </c>
      <c r="E2031">
        <v>3</v>
      </c>
      <c r="F2031">
        <v>5</v>
      </c>
      <c r="G2031" t="s">
        <v>1044</v>
      </c>
      <c r="H2031">
        <f>_xlfn.XLOOKUP(D2031, productos!$A$2:$A$150, productos!$D$2:$D$150, "No Encontrado", 0)</f>
        <v>3.25</v>
      </c>
      <c r="I2031">
        <f t="shared" si="31"/>
        <v>9.75</v>
      </c>
    </row>
    <row r="2032" spans="1:9" x14ac:dyDescent="0.25">
      <c r="A2032">
        <v>2664</v>
      </c>
      <c r="B2032" s="1">
        <v>45530</v>
      </c>
      <c r="C2032">
        <v>284</v>
      </c>
      <c r="D2032">
        <v>8</v>
      </c>
      <c r="E2032">
        <v>6</v>
      </c>
      <c r="F2032">
        <v>5</v>
      </c>
      <c r="G2032" t="s">
        <v>1044</v>
      </c>
      <c r="H2032">
        <f>_xlfn.XLOOKUP(D2032, productos!$A$2:$A$150, productos!$D$2:$D$150, "No Encontrado", 0)</f>
        <v>16.21</v>
      </c>
      <c r="I2032">
        <f t="shared" si="31"/>
        <v>97.26</v>
      </c>
    </row>
    <row r="2033" spans="1:9" x14ac:dyDescent="0.25">
      <c r="A2033">
        <v>2697</v>
      </c>
      <c r="B2033" s="1">
        <v>45530</v>
      </c>
      <c r="C2033">
        <v>218</v>
      </c>
      <c r="D2033">
        <v>24</v>
      </c>
      <c r="E2033">
        <v>5</v>
      </c>
      <c r="F2033">
        <v>4</v>
      </c>
      <c r="G2033" t="s">
        <v>1044</v>
      </c>
      <c r="H2033">
        <f>_xlfn.XLOOKUP(D2033, productos!$A$2:$A$150, productos!$D$2:$D$150, "No Encontrado", 0)</f>
        <v>13.54</v>
      </c>
      <c r="I2033">
        <f t="shared" si="31"/>
        <v>67.699999999999989</v>
      </c>
    </row>
    <row r="2034" spans="1:9" x14ac:dyDescent="0.25">
      <c r="A2034">
        <v>869</v>
      </c>
      <c r="B2034" s="1">
        <v>45531</v>
      </c>
      <c r="C2034">
        <v>111</v>
      </c>
      <c r="D2034">
        <v>20</v>
      </c>
      <c r="E2034">
        <v>2</v>
      </c>
      <c r="F2034">
        <v>1</v>
      </c>
      <c r="G2034" t="s">
        <v>1044</v>
      </c>
      <c r="H2034">
        <f>_xlfn.XLOOKUP(D2034, productos!$A$2:$A$150, productos!$D$2:$D$150, "No Encontrado", 0)</f>
        <v>4.25</v>
      </c>
      <c r="I2034">
        <f t="shared" si="31"/>
        <v>8.5</v>
      </c>
    </row>
    <row r="2035" spans="1:9" x14ac:dyDescent="0.25">
      <c r="A2035">
        <v>888</v>
      </c>
      <c r="B2035" s="1">
        <v>45531</v>
      </c>
      <c r="C2035">
        <v>90</v>
      </c>
      <c r="D2035">
        <v>6</v>
      </c>
      <c r="E2035">
        <v>3</v>
      </c>
      <c r="F2035">
        <v>3</v>
      </c>
      <c r="G2035" t="s">
        <v>1044</v>
      </c>
      <c r="H2035">
        <f>_xlfn.XLOOKUP(D2035, productos!$A$2:$A$150, productos!$D$2:$D$150, "No Encontrado", 0)</f>
        <v>28.56</v>
      </c>
      <c r="I2035">
        <f t="shared" si="31"/>
        <v>85.679999999999993</v>
      </c>
    </row>
    <row r="2036" spans="1:9" x14ac:dyDescent="0.25">
      <c r="A2036">
        <v>903</v>
      </c>
      <c r="B2036" s="1">
        <v>45531</v>
      </c>
      <c r="C2036">
        <v>257</v>
      </c>
      <c r="D2036">
        <v>5</v>
      </c>
      <c r="E2036">
        <v>5</v>
      </c>
      <c r="F2036">
        <v>5</v>
      </c>
      <c r="G2036" t="s">
        <v>1044</v>
      </c>
      <c r="H2036">
        <f>_xlfn.XLOOKUP(D2036, productos!$A$2:$A$150, productos!$D$2:$D$150, "No Encontrado", 0)</f>
        <v>5.65</v>
      </c>
      <c r="I2036">
        <f t="shared" si="31"/>
        <v>28.25</v>
      </c>
    </row>
    <row r="2037" spans="1:9" x14ac:dyDescent="0.25">
      <c r="A2037">
        <v>2915</v>
      </c>
      <c r="B2037" s="1">
        <v>45531</v>
      </c>
      <c r="C2037">
        <v>187</v>
      </c>
      <c r="D2037">
        <v>37</v>
      </c>
      <c r="E2037">
        <v>2</v>
      </c>
      <c r="F2037">
        <v>3</v>
      </c>
      <c r="G2037" t="s">
        <v>1044</v>
      </c>
      <c r="H2037">
        <f>_xlfn.XLOOKUP(D2037, productos!$A$2:$A$150, productos!$D$2:$D$150, "No Encontrado", 0)</f>
        <v>3.65</v>
      </c>
      <c r="I2037">
        <f t="shared" si="31"/>
        <v>7.3</v>
      </c>
    </row>
    <row r="2038" spans="1:9" x14ac:dyDescent="0.25">
      <c r="A2038">
        <v>1053</v>
      </c>
      <c r="B2038" s="1">
        <v>45532</v>
      </c>
      <c r="C2038">
        <v>23</v>
      </c>
      <c r="D2038">
        <v>2</v>
      </c>
      <c r="E2038">
        <v>3</v>
      </c>
      <c r="F2038">
        <v>1</v>
      </c>
      <c r="G2038" t="s">
        <v>1044</v>
      </c>
      <c r="H2038">
        <f>_xlfn.XLOOKUP(D2038, productos!$A$2:$A$150, productos!$D$2:$D$150, "No Encontrado", 0)</f>
        <v>5.21</v>
      </c>
      <c r="I2038">
        <f t="shared" si="31"/>
        <v>15.629999999999999</v>
      </c>
    </row>
    <row r="2039" spans="1:9" x14ac:dyDescent="0.25">
      <c r="A2039">
        <v>2688</v>
      </c>
      <c r="B2039" s="1">
        <v>45532</v>
      </c>
      <c r="C2039">
        <v>74</v>
      </c>
      <c r="D2039">
        <v>15</v>
      </c>
      <c r="E2039">
        <v>2</v>
      </c>
      <c r="F2039">
        <v>5</v>
      </c>
      <c r="G2039" t="s">
        <v>1044</v>
      </c>
      <c r="H2039">
        <f>_xlfn.XLOOKUP(D2039, productos!$A$2:$A$150, productos!$D$2:$D$150, "No Encontrado", 0)</f>
        <v>3.51</v>
      </c>
      <c r="I2039">
        <f t="shared" si="31"/>
        <v>7.02</v>
      </c>
    </row>
    <row r="2040" spans="1:9" x14ac:dyDescent="0.25">
      <c r="A2040">
        <v>601</v>
      </c>
      <c r="B2040" s="1">
        <v>45533</v>
      </c>
      <c r="C2040">
        <v>193</v>
      </c>
      <c r="D2040">
        <v>25</v>
      </c>
      <c r="E2040">
        <v>6</v>
      </c>
      <c r="F2040">
        <v>5</v>
      </c>
      <c r="G2040" t="s">
        <v>1044</v>
      </c>
      <c r="H2040">
        <f>_xlfn.XLOOKUP(D2040, productos!$A$2:$A$150, productos!$D$2:$D$150, "No Encontrado", 0)</f>
        <v>15.45</v>
      </c>
      <c r="I2040">
        <f t="shared" si="31"/>
        <v>92.699999999999989</v>
      </c>
    </row>
    <row r="2041" spans="1:9" x14ac:dyDescent="0.25">
      <c r="A2041">
        <v>729</v>
      </c>
      <c r="B2041" s="1">
        <v>45533</v>
      </c>
      <c r="C2041">
        <v>288</v>
      </c>
      <c r="D2041">
        <v>11</v>
      </c>
      <c r="E2041">
        <v>3</v>
      </c>
      <c r="F2041">
        <v>1</v>
      </c>
      <c r="G2041" t="s">
        <v>1044</v>
      </c>
      <c r="H2041">
        <f>_xlfn.XLOOKUP(D2041, productos!$A$2:$A$150, productos!$D$2:$D$150, "No Encontrado", 0)</f>
        <v>11.23</v>
      </c>
      <c r="I2041">
        <f t="shared" si="31"/>
        <v>33.69</v>
      </c>
    </row>
    <row r="2042" spans="1:9" x14ac:dyDescent="0.25">
      <c r="A2042">
        <v>943</v>
      </c>
      <c r="B2042" s="1">
        <v>45533</v>
      </c>
      <c r="C2042">
        <v>56</v>
      </c>
      <c r="D2042">
        <v>5</v>
      </c>
      <c r="E2042">
        <v>6</v>
      </c>
      <c r="F2042">
        <v>3</v>
      </c>
      <c r="G2042" t="s">
        <v>1044</v>
      </c>
      <c r="H2042">
        <f>_xlfn.XLOOKUP(D2042, productos!$A$2:$A$150, productos!$D$2:$D$150, "No Encontrado", 0)</f>
        <v>5.65</v>
      </c>
      <c r="I2042">
        <f t="shared" si="31"/>
        <v>33.900000000000006</v>
      </c>
    </row>
    <row r="2043" spans="1:9" x14ac:dyDescent="0.25">
      <c r="A2043">
        <v>984</v>
      </c>
      <c r="B2043" s="1">
        <v>45533</v>
      </c>
      <c r="C2043">
        <v>121</v>
      </c>
      <c r="D2043">
        <v>6</v>
      </c>
      <c r="E2043">
        <v>5</v>
      </c>
      <c r="F2043">
        <v>4</v>
      </c>
      <c r="G2043" t="s">
        <v>1044</v>
      </c>
      <c r="H2043">
        <f>_xlfn.XLOOKUP(D2043, productos!$A$2:$A$150, productos!$D$2:$D$150, "No Encontrado", 0)</f>
        <v>28.56</v>
      </c>
      <c r="I2043">
        <f t="shared" si="31"/>
        <v>142.79999999999998</v>
      </c>
    </row>
    <row r="2044" spans="1:9" x14ac:dyDescent="0.25">
      <c r="A2044">
        <v>1055</v>
      </c>
      <c r="B2044" s="1">
        <v>45533</v>
      </c>
      <c r="C2044">
        <v>229</v>
      </c>
      <c r="D2044">
        <v>34</v>
      </c>
      <c r="E2044">
        <v>5</v>
      </c>
      <c r="F2044">
        <v>1</v>
      </c>
      <c r="G2044" t="s">
        <v>1044</v>
      </c>
      <c r="H2044">
        <f>_xlfn.XLOOKUP(D2044, productos!$A$2:$A$150, productos!$D$2:$D$150, "No Encontrado", 0)</f>
        <v>5.45</v>
      </c>
      <c r="I2044">
        <f t="shared" si="31"/>
        <v>27.25</v>
      </c>
    </row>
    <row r="2045" spans="1:9" x14ac:dyDescent="0.25">
      <c r="A2045">
        <v>1208</v>
      </c>
      <c r="B2045" s="1">
        <v>45533</v>
      </c>
      <c r="C2045">
        <v>306</v>
      </c>
      <c r="D2045">
        <v>14</v>
      </c>
      <c r="E2045">
        <v>4</v>
      </c>
      <c r="F2045">
        <v>3</v>
      </c>
      <c r="G2045" t="s">
        <v>1044</v>
      </c>
      <c r="H2045">
        <f>_xlfn.XLOOKUP(D2045, productos!$A$2:$A$150, productos!$D$2:$D$150, "No Encontrado", 0)</f>
        <v>12.36</v>
      </c>
      <c r="I2045">
        <f t="shared" si="31"/>
        <v>49.44</v>
      </c>
    </row>
    <row r="2046" spans="1:9" x14ac:dyDescent="0.25">
      <c r="A2046">
        <v>2053</v>
      </c>
      <c r="B2046" s="1">
        <v>45533</v>
      </c>
      <c r="C2046">
        <v>178</v>
      </c>
      <c r="D2046">
        <v>30</v>
      </c>
      <c r="E2046">
        <v>1</v>
      </c>
      <c r="F2046">
        <v>2</v>
      </c>
      <c r="G2046" t="s">
        <v>1044</v>
      </c>
      <c r="H2046">
        <f>_xlfn.XLOOKUP(D2046, productos!$A$2:$A$150, productos!$D$2:$D$150, "No Encontrado", 0)</f>
        <v>13.54</v>
      </c>
      <c r="I2046">
        <f t="shared" si="31"/>
        <v>13.54</v>
      </c>
    </row>
    <row r="2047" spans="1:9" x14ac:dyDescent="0.25">
      <c r="A2047">
        <v>2429</v>
      </c>
      <c r="B2047" s="1">
        <v>45533</v>
      </c>
      <c r="C2047">
        <v>89</v>
      </c>
      <c r="D2047">
        <v>23</v>
      </c>
      <c r="E2047">
        <v>3</v>
      </c>
      <c r="F2047">
        <v>1</v>
      </c>
      <c r="G2047" t="s">
        <v>1044</v>
      </c>
      <c r="H2047">
        <f>_xlfn.XLOOKUP(D2047, productos!$A$2:$A$150, productos!$D$2:$D$150, "No Encontrado", 0)</f>
        <v>8.23</v>
      </c>
      <c r="I2047">
        <f t="shared" si="31"/>
        <v>24.69</v>
      </c>
    </row>
    <row r="2048" spans="1:9" x14ac:dyDescent="0.25">
      <c r="A2048">
        <v>2693</v>
      </c>
      <c r="B2048" s="1">
        <v>45533</v>
      </c>
      <c r="C2048">
        <v>133</v>
      </c>
      <c r="D2048">
        <v>33</v>
      </c>
      <c r="E2048">
        <v>4</v>
      </c>
      <c r="F2048">
        <v>2</v>
      </c>
      <c r="G2048" t="s">
        <v>1045</v>
      </c>
      <c r="H2048">
        <f>_xlfn.XLOOKUP(D2048, productos!$A$2:$A$150, productos!$D$2:$D$150, "No Encontrado", 0)</f>
        <v>8.5399999999999991</v>
      </c>
      <c r="I2048">
        <f t="shared" si="31"/>
        <v>34.159999999999997</v>
      </c>
    </row>
    <row r="2049" spans="1:9" x14ac:dyDescent="0.25">
      <c r="A2049">
        <v>2862</v>
      </c>
      <c r="B2049" s="1">
        <v>45533</v>
      </c>
      <c r="C2049">
        <v>233</v>
      </c>
      <c r="D2049">
        <v>25</v>
      </c>
      <c r="E2049">
        <v>3</v>
      </c>
      <c r="F2049">
        <v>4</v>
      </c>
      <c r="G2049" t="s">
        <v>1045</v>
      </c>
      <c r="H2049">
        <f>_xlfn.XLOOKUP(D2049, productos!$A$2:$A$150, productos!$D$2:$D$150, "No Encontrado", 0)</f>
        <v>15.45</v>
      </c>
      <c r="I2049">
        <f t="shared" si="31"/>
        <v>46.349999999999994</v>
      </c>
    </row>
    <row r="2050" spans="1:9" x14ac:dyDescent="0.25">
      <c r="A2050">
        <v>1333</v>
      </c>
      <c r="B2050" s="1">
        <v>45534</v>
      </c>
      <c r="C2050">
        <v>132</v>
      </c>
      <c r="D2050">
        <v>28</v>
      </c>
      <c r="E2050">
        <v>2</v>
      </c>
      <c r="F2050">
        <v>2</v>
      </c>
      <c r="G2050" t="s">
        <v>1044</v>
      </c>
      <c r="H2050">
        <f>_xlfn.XLOOKUP(D2050, productos!$A$2:$A$150, productos!$D$2:$D$150, "No Encontrado", 0)</f>
        <v>9.4499999999999993</v>
      </c>
      <c r="I2050">
        <f t="shared" si="31"/>
        <v>18.899999999999999</v>
      </c>
    </row>
    <row r="2051" spans="1:9" x14ac:dyDescent="0.25">
      <c r="A2051">
        <v>1597</v>
      </c>
      <c r="B2051" s="1">
        <v>45534</v>
      </c>
      <c r="C2051">
        <v>281</v>
      </c>
      <c r="D2051">
        <v>33</v>
      </c>
      <c r="E2051">
        <v>2</v>
      </c>
      <c r="F2051">
        <v>5</v>
      </c>
      <c r="G2051" t="s">
        <v>1044</v>
      </c>
      <c r="H2051">
        <f>_xlfn.XLOOKUP(D2051, productos!$A$2:$A$150, productos!$D$2:$D$150, "No Encontrado", 0)</f>
        <v>8.5399999999999991</v>
      </c>
      <c r="I2051">
        <f t="shared" ref="I2051:I2114" si="32">E2051*H2051</f>
        <v>17.079999999999998</v>
      </c>
    </row>
    <row r="2052" spans="1:9" x14ac:dyDescent="0.25">
      <c r="A2052">
        <v>1956</v>
      </c>
      <c r="B2052" s="1">
        <v>45534</v>
      </c>
      <c r="C2052">
        <v>1</v>
      </c>
      <c r="D2052">
        <v>36</v>
      </c>
      <c r="E2052">
        <v>3</v>
      </c>
      <c r="F2052">
        <v>3</v>
      </c>
      <c r="G2052" t="s">
        <v>1044</v>
      </c>
      <c r="H2052">
        <f>_xlfn.XLOOKUP(D2052, productos!$A$2:$A$150, productos!$D$2:$D$150, "No Encontrado", 0)</f>
        <v>3.25</v>
      </c>
      <c r="I2052">
        <f t="shared" si="32"/>
        <v>9.75</v>
      </c>
    </row>
    <row r="2053" spans="1:9" x14ac:dyDescent="0.25">
      <c r="A2053">
        <v>2295</v>
      </c>
      <c r="B2053" s="1">
        <v>45534</v>
      </c>
      <c r="C2053">
        <v>252</v>
      </c>
      <c r="D2053">
        <v>34</v>
      </c>
      <c r="E2053">
        <v>2</v>
      </c>
      <c r="F2053">
        <v>5</v>
      </c>
      <c r="G2053" t="s">
        <v>1044</v>
      </c>
      <c r="H2053">
        <f>_xlfn.XLOOKUP(D2053, productos!$A$2:$A$150, productos!$D$2:$D$150, "No Encontrado", 0)</f>
        <v>5.45</v>
      </c>
      <c r="I2053">
        <f t="shared" si="32"/>
        <v>10.9</v>
      </c>
    </row>
    <row r="2054" spans="1:9" x14ac:dyDescent="0.25">
      <c r="A2054">
        <v>526</v>
      </c>
      <c r="B2054" s="1">
        <v>45535</v>
      </c>
      <c r="C2054">
        <v>321</v>
      </c>
      <c r="D2054">
        <v>32</v>
      </c>
      <c r="E2054">
        <v>4</v>
      </c>
      <c r="F2054">
        <v>4</v>
      </c>
      <c r="G2054" t="s">
        <v>1044</v>
      </c>
      <c r="H2054">
        <f>_xlfn.XLOOKUP(D2054, productos!$A$2:$A$150, productos!$D$2:$D$150, "No Encontrado", 0)</f>
        <v>6.25</v>
      </c>
      <c r="I2054">
        <f t="shared" si="32"/>
        <v>25</v>
      </c>
    </row>
    <row r="2055" spans="1:9" x14ac:dyDescent="0.25">
      <c r="A2055">
        <v>665</v>
      </c>
      <c r="B2055" s="1">
        <v>45535</v>
      </c>
      <c r="C2055">
        <v>151</v>
      </c>
      <c r="D2055">
        <v>10</v>
      </c>
      <c r="E2055">
        <v>5</v>
      </c>
      <c r="F2055">
        <v>4</v>
      </c>
      <c r="G2055" t="s">
        <v>1044</v>
      </c>
      <c r="H2055">
        <f>_xlfn.XLOOKUP(D2055, productos!$A$2:$A$150, productos!$D$2:$D$150, "No Encontrado", 0)</f>
        <v>14.25</v>
      </c>
      <c r="I2055">
        <f t="shared" si="32"/>
        <v>71.25</v>
      </c>
    </row>
    <row r="2056" spans="1:9" x14ac:dyDescent="0.25">
      <c r="A2056">
        <v>1326</v>
      </c>
      <c r="B2056" s="1">
        <v>45535</v>
      </c>
      <c r="C2056">
        <v>307</v>
      </c>
      <c r="D2056">
        <v>34</v>
      </c>
      <c r="E2056">
        <v>5</v>
      </c>
      <c r="F2056">
        <v>4</v>
      </c>
      <c r="G2056" t="s">
        <v>1044</v>
      </c>
      <c r="H2056">
        <f>_xlfn.XLOOKUP(D2056, productos!$A$2:$A$150, productos!$D$2:$D$150, "No Encontrado", 0)</f>
        <v>5.45</v>
      </c>
      <c r="I2056">
        <f t="shared" si="32"/>
        <v>27.25</v>
      </c>
    </row>
    <row r="2057" spans="1:9" x14ac:dyDescent="0.25">
      <c r="A2057">
        <v>1908</v>
      </c>
      <c r="B2057" s="1">
        <v>45535</v>
      </c>
      <c r="C2057">
        <v>199</v>
      </c>
      <c r="D2057">
        <v>3</v>
      </c>
      <c r="E2057">
        <v>2</v>
      </c>
      <c r="F2057">
        <v>3</v>
      </c>
      <c r="G2057" t="s">
        <v>1044</v>
      </c>
      <c r="H2057">
        <f>_xlfn.XLOOKUP(D2057, productos!$A$2:$A$150, productos!$D$2:$D$150, "No Encontrado", 0)</f>
        <v>17.23</v>
      </c>
      <c r="I2057">
        <f t="shared" si="32"/>
        <v>34.46</v>
      </c>
    </row>
    <row r="2058" spans="1:9" x14ac:dyDescent="0.25">
      <c r="A2058">
        <v>2197</v>
      </c>
      <c r="B2058" s="1">
        <v>45535</v>
      </c>
      <c r="C2058">
        <v>151</v>
      </c>
      <c r="D2058">
        <v>36</v>
      </c>
      <c r="E2058">
        <v>1</v>
      </c>
      <c r="F2058">
        <v>1</v>
      </c>
      <c r="G2058" t="s">
        <v>1044</v>
      </c>
      <c r="H2058">
        <f>_xlfn.XLOOKUP(D2058, productos!$A$2:$A$150, productos!$D$2:$D$150, "No Encontrado", 0)</f>
        <v>3.25</v>
      </c>
      <c r="I2058">
        <f t="shared" si="32"/>
        <v>3.25</v>
      </c>
    </row>
    <row r="2059" spans="1:9" x14ac:dyDescent="0.25">
      <c r="A2059">
        <v>2713</v>
      </c>
      <c r="B2059" s="1">
        <v>45535</v>
      </c>
      <c r="C2059">
        <v>176</v>
      </c>
      <c r="D2059">
        <v>34</v>
      </c>
      <c r="E2059">
        <v>3</v>
      </c>
      <c r="F2059">
        <v>3</v>
      </c>
      <c r="G2059" t="s">
        <v>1044</v>
      </c>
      <c r="H2059">
        <f>_xlfn.XLOOKUP(D2059, productos!$A$2:$A$150, productos!$D$2:$D$150, "No Encontrado", 0)</f>
        <v>5.45</v>
      </c>
      <c r="I2059">
        <f t="shared" si="32"/>
        <v>16.350000000000001</v>
      </c>
    </row>
    <row r="2060" spans="1:9" x14ac:dyDescent="0.25">
      <c r="A2060">
        <v>2923</v>
      </c>
      <c r="B2060" s="1">
        <v>45535</v>
      </c>
      <c r="C2060">
        <v>214</v>
      </c>
      <c r="D2060">
        <v>10</v>
      </c>
      <c r="E2060">
        <v>6</v>
      </c>
      <c r="F2060">
        <v>1</v>
      </c>
      <c r="G2060" t="s">
        <v>1044</v>
      </c>
      <c r="H2060">
        <f>_xlfn.XLOOKUP(D2060, productos!$A$2:$A$150, productos!$D$2:$D$150, "No Encontrado", 0)</f>
        <v>14.25</v>
      </c>
      <c r="I2060">
        <f t="shared" si="32"/>
        <v>85.5</v>
      </c>
    </row>
    <row r="2061" spans="1:9" x14ac:dyDescent="0.25">
      <c r="A2061">
        <v>2965</v>
      </c>
      <c r="B2061" s="1">
        <v>45535</v>
      </c>
      <c r="C2061">
        <v>183</v>
      </c>
      <c r="D2061">
        <v>37</v>
      </c>
      <c r="E2061">
        <v>4</v>
      </c>
      <c r="F2061">
        <v>3</v>
      </c>
      <c r="G2061" t="s">
        <v>1044</v>
      </c>
      <c r="H2061">
        <f>_xlfn.XLOOKUP(D2061, productos!$A$2:$A$150, productos!$D$2:$D$150, "No Encontrado", 0)</f>
        <v>3.65</v>
      </c>
      <c r="I2061">
        <f t="shared" si="32"/>
        <v>14.6</v>
      </c>
    </row>
    <row r="2062" spans="1:9" x14ac:dyDescent="0.25">
      <c r="A2062">
        <v>493</v>
      </c>
      <c r="B2062" s="1">
        <v>45536</v>
      </c>
      <c r="C2062">
        <v>273</v>
      </c>
      <c r="D2062">
        <v>8</v>
      </c>
      <c r="E2062">
        <v>3</v>
      </c>
      <c r="F2062">
        <v>5</v>
      </c>
      <c r="G2062" t="s">
        <v>1045</v>
      </c>
      <c r="H2062">
        <f>_xlfn.XLOOKUP(D2062, productos!$A$2:$A$150, productos!$D$2:$D$150, "No Encontrado", 0)</f>
        <v>16.21</v>
      </c>
      <c r="I2062">
        <f t="shared" si="32"/>
        <v>48.63</v>
      </c>
    </row>
    <row r="2063" spans="1:9" x14ac:dyDescent="0.25">
      <c r="A2063">
        <v>632</v>
      </c>
      <c r="B2063" s="1">
        <v>45536</v>
      </c>
      <c r="C2063">
        <v>50</v>
      </c>
      <c r="D2063">
        <v>36</v>
      </c>
      <c r="E2063">
        <v>5</v>
      </c>
      <c r="F2063">
        <v>5</v>
      </c>
      <c r="G2063" t="s">
        <v>1044</v>
      </c>
      <c r="H2063">
        <f>_xlfn.XLOOKUP(D2063, productos!$A$2:$A$150, productos!$D$2:$D$150, "No Encontrado", 0)</f>
        <v>3.25</v>
      </c>
      <c r="I2063">
        <f t="shared" si="32"/>
        <v>16.25</v>
      </c>
    </row>
    <row r="2064" spans="1:9" x14ac:dyDescent="0.25">
      <c r="A2064">
        <v>1300</v>
      </c>
      <c r="B2064" s="1">
        <v>45536</v>
      </c>
      <c r="C2064">
        <v>201</v>
      </c>
      <c r="D2064">
        <v>25</v>
      </c>
      <c r="E2064">
        <v>5</v>
      </c>
      <c r="F2064">
        <v>4</v>
      </c>
      <c r="G2064" t="s">
        <v>1044</v>
      </c>
      <c r="H2064">
        <f>_xlfn.XLOOKUP(D2064, productos!$A$2:$A$150, productos!$D$2:$D$150, "No Encontrado", 0)</f>
        <v>15.45</v>
      </c>
      <c r="I2064">
        <f t="shared" si="32"/>
        <v>77.25</v>
      </c>
    </row>
    <row r="2065" spans="1:9" x14ac:dyDescent="0.25">
      <c r="A2065">
        <v>1763</v>
      </c>
      <c r="B2065" s="1">
        <v>45536</v>
      </c>
      <c r="C2065">
        <v>182</v>
      </c>
      <c r="D2065">
        <v>35</v>
      </c>
      <c r="E2065">
        <v>3</v>
      </c>
      <c r="F2065">
        <v>2</v>
      </c>
      <c r="G2065" t="s">
        <v>1044</v>
      </c>
      <c r="H2065">
        <f>_xlfn.XLOOKUP(D2065, productos!$A$2:$A$150, productos!$D$2:$D$150, "No Encontrado", 0)</f>
        <v>4.25</v>
      </c>
      <c r="I2065">
        <f t="shared" si="32"/>
        <v>12.75</v>
      </c>
    </row>
    <row r="2066" spans="1:9" x14ac:dyDescent="0.25">
      <c r="A2066">
        <v>1964</v>
      </c>
      <c r="B2066" s="1">
        <v>45536</v>
      </c>
      <c r="C2066">
        <v>319</v>
      </c>
      <c r="D2066">
        <v>29</v>
      </c>
      <c r="E2066">
        <v>1</v>
      </c>
      <c r="F2066">
        <v>5</v>
      </c>
      <c r="G2066" t="s">
        <v>1044</v>
      </c>
      <c r="H2066">
        <f>_xlfn.XLOOKUP(D2066, productos!$A$2:$A$150, productos!$D$2:$D$150, "No Encontrado", 0)</f>
        <v>11.54</v>
      </c>
      <c r="I2066">
        <f t="shared" si="32"/>
        <v>11.54</v>
      </c>
    </row>
    <row r="2067" spans="1:9" x14ac:dyDescent="0.25">
      <c r="A2067">
        <v>2141</v>
      </c>
      <c r="B2067" s="1">
        <v>45536</v>
      </c>
      <c r="C2067">
        <v>188</v>
      </c>
      <c r="D2067">
        <v>16</v>
      </c>
      <c r="E2067">
        <v>4</v>
      </c>
      <c r="F2067">
        <v>1</v>
      </c>
      <c r="G2067" t="s">
        <v>1044</v>
      </c>
      <c r="H2067">
        <f>_xlfn.XLOOKUP(D2067, productos!$A$2:$A$150, productos!$D$2:$D$150, "No Encontrado", 0)</f>
        <v>15.23</v>
      </c>
      <c r="I2067">
        <f t="shared" si="32"/>
        <v>60.92</v>
      </c>
    </row>
    <row r="2068" spans="1:9" x14ac:dyDescent="0.25">
      <c r="A2068">
        <v>2226</v>
      </c>
      <c r="B2068" s="1">
        <v>45536</v>
      </c>
      <c r="C2068">
        <v>122</v>
      </c>
      <c r="D2068">
        <v>8</v>
      </c>
      <c r="E2068">
        <v>6</v>
      </c>
      <c r="F2068">
        <v>4</v>
      </c>
      <c r="G2068" t="s">
        <v>1044</v>
      </c>
      <c r="H2068">
        <f>_xlfn.XLOOKUP(D2068, productos!$A$2:$A$150, productos!$D$2:$D$150, "No Encontrado", 0)</f>
        <v>16.21</v>
      </c>
      <c r="I2068">
        <f t="shared" si="32"/>
        <v>97.26</v>
      </c>
    </row>
    <row r="2069" spans="1:9" x14ac:dyDescent="0.25">
      <c r="A2069">
        <v>2745</v>
      </c>
      <c r="B2069" s="1">
        <v>45536</v>
      </c>
      <c r="C2069">
        <v>114</v>
      </c>
      <c r="D2069">
        <v>9</v>
      </c>
      <c r="E2069">
        <v>3</v>
      </c>
      <c r="F2069">
        <v>2</v>
      </c>
      <c r="G2069" t="s">
        <v>1044</v>
      </c>
      <c r="H2069">
        <f>_xlfn.XLOOKUP(D2069, productos!$A$2:$A$150, productos!$D$2:$D$150, "No Encontrado", 0)</f>
        <v>18.559999999999999</v>
      </c>
      <c r="I2069">
        <f t="shared" si="32"/>
        <v>55.679999999999993</v>
      </c>
    </row>
    <row r="2070" spans="1:9" x14ac:dyDescent="0.25">
      <c r="A2070">
        <v>2823</v>
      </c>
      <c r="B2070" s="1">
        <v>45536</v>
      </c>
      <c r="C2070">
        <v>91</v>
      </c>
      <c r="D2070">
        <v>32</v>
      </c>
      <c r="E2070">
        <v>6</v>
      </c>
      <c r="F2070">
        <v>5</v>
      </c>
      <c r="G2070" t="s">
        <v>1045</v>
      </c>
      <c r="H2070">
        <f>_xlfn.XLOOKUP(D2070, productos!$A$2:$A$150, productos!$D$2:$D$150, "No Encontrado", 0)</f>
        <v>6.25</v>
      </c>
      <c r="I2070">
        <f t="shared" si="32"/>
        <v>37.5</v>
      </c>
    </row>
    <row r="2071" spans="1:9" x14ac:dyDescent="0.25">
      <c r="A2071">
        <v>348</v>
      </c>
      <c r="B2071" s="1">
        <v>45537</v>
      </c>
      <c r="C2071">
        <v>248</v>
      </c>
      <c r="D2071">
        <v>9</v>
      </c>
      <c r="E2071">
        <v>4</v>
      </c>
      <c r="F2071">
        <v>4</v>
      </c>
      <c r="G2071" t="s">
        <v>1044</v>
      </c>
      <c r="H2071">
        <f>_xlfn.XLOOKUP(D2071, productos!$A$2:$A$150, productos!$D$2:$D$150, "No Encontrado", 0)</f>
        <v>18.559999999999999</v>
      </c>
      <c r="I2071">
        <f t="shared" si="32"/>
        <v>74.239999999999995</v>
      </c>
    </row>
    <row r="2072" spans="1:9" x14ac:dyDescent="0.25">
      <c r="A2072">
        <v>518</v>
      </c>
      <c r="B2072" s="1">
        <v>45537</v>
      </c>
      <c r="C2072">
        <v>314</v>
      </c>
      <c r="D2072">
        <v>16</v>
      </c>
      <c r="E2072">
        <v>3</v>
      </c>
      <c r="F2072">
        <v>2</v>
      </c>
      <c r="G2072" t="s">
        <v>1045</v>
      </c>
      <c r="H2072">
        <f>_xlfn.XLOOKUP(D2072, productos!$A$2:$A$150, productos!$D$2:$D$150, "No Encontrado", 0)</f>
        <v>15.23</v>
      </c>
      <c r="I2072">
        <f t="shared" si="32"/>
        <v>45.69</v>
      </c>
    </row>
    <row r="2073" spans="1:9" x14ac:dyDescent="0.25">
      <c r="A2073">
        <v>587</v>
      </c>
      <c r="B2073" s="1">
        <v>45537</v>
      </c>
      <c r="C2073">
        <v>317</v>
      </c>
      <c r="D2073">
        <v>20</v>
      </c>
      <c r="E2073">
        <v>5</v>
      </c>
      <c r="F2073">
        <v>1</v>
      </c>
      <c r="G2073" t="s">
        <v>1044</v>
      </c>
      <c r="H2073">
        <f>_xlfn.XLOOKUP(D2073, productos!$A$2:$A$150, productos!$D$2:$D$150, "No Encontrado", 0)</f>
        <v>4.25</v>
      </c>
      <c r="I2073">
        <f t="shared" si="32"/>
        <v>21.25</v>
      </c>
    </row>
    <row r="2074" spans="1:9" x14ac:dyDescent="0.25">
      <c r="A2074">
        <v>702</v>
      </c>
      <c r="B2074" s="1">
        <v>45537</v>
      </c>
      <c r="C2074">
        <v>308</v>
      </c>
      <c r="D2074">
        <v>25</v>
      </c>
      <c r="E2074">
        <v>2</v>
      </c>
      <c r="F2074">
        <v>1</v>
      </c>
      <c r="G2074" t="s">
        <v>1044</v>
      </c>
      <c r="H2074">
        <f>_xlfn.XLOOKUP(D2074, productos!$A$2:$A$150, productos!$D$2:$D$150, "No Encontrado", 0)</f>
        <v>15.45</v>
      </c>
      <c r="I2074">
        <f t="shared" si="32"/>
        <v>30.9</v>
      </c>
    </row>
    <row r="2075" spans="1:9" x14ac:dyDescent="0.25">
      <c r="A2075">
        <v>810</v>
      </c>
      <c r="B2075" s="1">
        <v>45537</v>
      </c>
      <c r="C2075">
        <v>40</v>
      </c>
      <c r="D2075">
        <v>24</v>
      </c>
      <c r="E2075">
        <v>6</v>
      </c>
      <c r="F2075">
        <v>4</v>
      </c>
      <c r="G2075" t="s">
        <v>1044</v>
      </c>
      <c r="H2075">
        <f>_xlfn.XLOOKUP(D2075, productos!$A$2:$A$150, productos!$D$2:$D$150, "No Encontrado", 0)</f>
        <v>13.54</v>
      </c>
      <c r="I2075">
        <f t="shared" si="32"/>
        <v>81.239999999999995</v>
      </c>
    </row>
    <row r="2076" spans="1:9" x14ac:dyDescent="0.25">
      <c r="A2076">
        <v>931</v>
      </c>
      <c r="B2076" s="1">
        <v>45537</v>
      </c>
      <c r="C2076">
        <v>179</v>
      </c>
      <c r="D2076">
        <v>29</v>
      </c>
      <c r="E2076">
        <v>4</v>
      </c>
      <c r="F2076">
        <v>1</v>
      </c>
      <c r="G2076" t="s">
        <v>1044</v>
      </c>
      <c r="H2076">
        <f>_xlfn.XLOOKUP(D2076, productos!$A$2:$A$150, productos!$D$2:$D$150, "No Encontrado", 0)</f>
        <v>11.54</v>
      </c>
      <c r="I2076">
        <f t="shared" si="32"/>
        <v>46.16</v>
      </c>
    </row>
    <row r="2077" spans="1:9" x14ac:dyDescent="0.25">
      <c r="A2077">
        <v>1203</v>
      </c>
      <c r="B2077" s="1">
        <v>45537</v>
      </c>
      <c r="C2077">
        <v>257</v>
      </c>
      <c r="D2077">
        <v>38</v>
      </c>
      <c r="E2077">
        <v>5</v>
      </c>
      <c r="F2077">
        <v>5</v>
      </c>
      <c r="G2077" t="s">
        <v>1044</v>
      </c>
      <c r="H2077">
        <f>_xlfn.XLOOKUP(D2077, productos!$A$2:$A$150, productos!$D$2:$D$150, "No Encontrado", 0)</f>
        <v>6.21</v>
      </c>
      <c r="I2077">
        <f t="shared" si="32"/>
        <v>31.05</v>
      </c>
    </row>
    <row r="2078" spans="1:9" x14ac:dyDescent="0.25">
      <c r="A2078">
        <v>1789</v>
      </c>
      <c r="B2078" s="1">
        <v>45537</v>
      </c>
      <c r="C2078">
        <v>115</v>
      </c>
      <c r="D2078">
        <v>30</v>
      </c>
      <c r="E2078">
        <v>5</v>
      </c>
      <c r="F2078">
        <v>1</v>
      </c>
      <c r="G2078" t="s">
        <v>1044</v>
      </c>
      <c r="H2078">
        <f>_xlfn.XLOOKUP(D2078, productos!$A$2:$A$150, productos!$D$2:$D$150, "No Encontrado", 0)</f>
        <v>13.54</v>
      </c>
      <c r="I2078">
        <f t="shared" si="32"/>
        <v>67.699999999999989</v>
      </c>
    </row>
    <row r="2079" spans="1:9" x14ac:dyDescent="0.25">
      <c r="A2079">
        <v>2288</v>
      </c>
      <c r="B2079" s="1">
        <v>45537</v>
      </c>
      <c r="C2079">
        <v>252</v>
      </c>
      <c r="D2079">
        <v>16</v>
      </c>
      <c r="E2079">
        <v>4</v>
      </c>
      <c r="F2079">
        <v>4</v>
      </c>
      <c r="G2079" t="s">
        <v>1044</v>
      </c>
      <c r="H2079">
        <f>_xlfn.XLOOKUP(D2079, productos!$A$2:$A$150, productos!$D$2:$D$150, "No Encontrado", 0)</f>
        <v>15.23</v>
      </c>
      <c r="I2079">
        <f t="shared" si="32"/>
        <v>60.92</v>
      </c>
    </row>
    <row r="2080" spans="1:9" x14ac:dyDescent="0.25">
      <c r="A2080">
        <v>624</v>
      </c>
      <c r="B2080" s="1">
        <v>45538</v>
      </c>
      <c r="C2080">
        <v>297</v>
      </c>
      <c r="D2080">
        <v>36</v>
      </c>
      <c r="E2080">
        <v>1</v>
      </c>
      <c r="F2080">
        <v>5</v>
      </c>
      <c r="G2080" t="s">
        <v>1044</v>
      </c>
      <c r="H2080">
        <f>_xlfn.XLOOKUP(D2080, productos!$A$2:$A$150, productos!$D$2:$D$150, "No Encontrado", 0)</f>
        <v>3.25</v>
      </c>
      <c r="I2080">
        <f t="shared" si="32"/>
        <v>3.25</v>
      </c>
    </row>
    <row r="2081" spans="1:9" x14ac:dyDescent="0.25">
      <c r="A2081">
        <v>738</v>
      </c>
      <c r="B2081" s="1">
        <v>45538</v>
      </c>
      <c r="C2081">
        <v>59</v>
      </c>
      <c r="D2081">
        <v>36</v>
      </c>
      <c r="E2081">
        <v>4</v>
      </c>
      <c r="F2081">
        <v>5</v>
      </c>
      <c r="G2081" t="s">
        <v>1044</v>
      </c>
      <c r="H2081">
        <f>_xlfn.XLOOKUP(D2081, productos!$A$2:$A$150, productos!$D$2:$D$150, "No Encontrado", 0)</f>
        <v>3.25</v>
      </c>
      <c r="I2081">
        <f t="shared" si="32"/>
        <v>13</v>
      </c>
    </row>
    <row r="2082" spans="1:9" x14ac:dyDescent="0.25">
      <c r="A2082">
        <v>998</v>
      </c>
      <c r="B2082" s="1">
        <v>45538</v>
      </c>
      <c r="C2082">
        <v>152</v>
      </c>
      <c r="D2082">
        <v>25</v>
      </c>
      <c r="E2082">
        <v>5</v>
      </c>
      <c r="F2082">
        <v>3</v>
      </c>
      <c r="G2082" t="s">
        <v>1044</v>
      </c>
      <c r="H2082">
        <f>_xlfn.XLOOKUP(D2082, productos!$A$2:$A$150, productos!$D$2:$D$150, "No Encontrado", 0)</f>
        <v>15.45</v>
      </c>
      <c r="I2082">
        <f t="shared" si="32"/>
        <v>77.25</v>
      </c>
    </row>
    <row r="2083" spans="1:9" x14ac:dyDescent="0.25">
      <c r="A2083">
        <v>1584</v>
      </c>
      <c r="B2083" s="1">
        <v>45538</v>
      </c>
      <c r="C2083">
        <v>194</v>
      </c>
      <c r="D2083">
        <v>31</v>
      </c>
      <c r="E2083">
        <v>2</v>
      </c>
      <c r="F2083">
        <v>2</v>
      </c>
      <c r="G2083" t="s">
        <v>1044</v>
      </c>
      <c r="H2083">
        <f>_xlfn.XLOOKUP(D2083, productos!$A$2:$A$150, productos!$D$2:$D$150, "No Encontrado", 0)</f>
        <v>5.24</v>
      </c>
      <c r="I2083">
        <f t="shared" si="32"/>
        <v>10.48</v>
      </c>
    </row>
    <row r="2084" spans="1:9" x14ac:dyDescent="0.25">
      <c r="A2084">
        <v>2032</v>
      </c>
      <c r="B2084" s="1">
        <v>45538</v>
      </c>
      <c r="C2084">
        <v>100</v>
      </c>
      <c r="D2084">
        <v>38</v>
      </c>
      <c r="E2084">
        <v>4</v>
      </c>
      <c r="F2084">
        <v>4</v>
      </c>
      <c r="G2084" t="s">
        <v>1044</v>
      </c>
      <c r="H2084">
        <f>_xlfn.XLOOKUP(D2084, productos!$A$2:$A$150, productos!$D$2:$D$150, "No Encontrado", 0)</f>
        <v>6.21</v>
      </c>
      <c r="I2084">
        <f t="shared" si="32"/>
        <v>24.84</v>
      </c>
    </row>
    <row r="2085" spans="1:9" x14ac:dyDescent="0.25">
      <c r="A2085">
        <v>2252</v>
      </c>
      <c r="B2085" s="1">
        <v>45538</v>
      </c>
      <c r="C2085">
        <v>206</v>
      </c>
      <c r="D2085">
        <v>31</v>
      </c>
      <c r="E2085">
        <v>3</v>
      </c>
      <c r="F2085">
        <v>4</v>
      </c>
      <c r="G2085" t="s">
        <v>1044</v>
      </c>
      <c r="H2085">
        <f>_xlfn.XLOOKUP(D2085, productos!$A$2:$A$150, productos!$D$2:$D$150, "No Encontrado", 0)</f>
        <v>5.24</v>
      </c>
      <c r="I2085">
        <f t="shared" si="32"/>
        <v>15.72</v>
      </c>
    </row>
    <row r="2086" spans="1:9" x14ac:dyDescent="0.25">
      <c r="A2086">
        <v>385</v>
      </c>
      <c r="B2086" s="1">
        <v>45539</v>
      </c>
      <c r="C2086">
        <v>257</v>
      </c>
      <c r="D2086">
        <v>19</v>
      </c>
      <c r="E2086">
        <v>2</v>
      </c>
      <c r="F2086">
        <v>3</v>
      </c>
      <c r="G2086" t="s">
        <v>1044</v>
      </c>
      <c r="H2086">
        <f>_xlfn.XLOOKUP(D2086, productos!$A$2:$A$150, productos!$D$2:$D$150, "No Encontrado", 0)</f>
        <v>6.54</v>
      </c>
      <c r="I2086">
        <f t="shared" si="32"/>
        <v>13.08</v>
      </c>
    </row>
    <row r="2087" spans="1:9" x14ac:dyDescent="0.25">
      <c r="A2087">
        <v>535</v>
      </c>
      <c r="B2087" s="1">
        <v>45539</v>
      </c>
      <c r="C2087">
        <v>167</v>
      </c>
      <c r="D2087">
        <v>14</v>
      </c>
      <c r="E2087">
        <v>3</v>
      </c>
      <c r="F2087">
        <v>1</v>
      </c>
      <c r="G2087" t="s">
        <v>1044</v>
      </c>
      <c r="H2087">
        <f>_xlfn.XLOOKUP(D2087, productos!$A$2:$A$150, productos!$D$2:$D$150, "No Encontrado", 0)</f>
        <v>12.36</v>
      </c>
      <c r="I2087">
        <f t="shared" si="32"/>
        <v>37.08</v>
      </c>
    </row>
    <row r="2088" spans="1:9" x14ac:dyDescent="0.25">
      <c r="A2088">
        <v>1039</v>
      </c>
      <c r="B2088" s="1">
        <v>45539</v>
      </c>
      <c r="C2088">
        <v>314</v>
      </c>
      <c r="D2088">
        <v>22</v>
      </c>
      <c r="E2088">
        <v>1</v>
      </c>
      <c r="F2088">
        <v>4</v>
      </c>
      <c r="G2088" t="s">
        <v>1044</v>
      </c>
      <c r="H2088">
        <f>_xlfn.XLOOKUP(D2088, productos!$A$2:$A$150, productos!$D$2:$D$150, "No Encontrado", 0)</f>
        <v>4.21</v>
      </c>
      <c r="I2088">
        <f t="shared" si="32"/>
        <v>4.21</v>
      </c>
    </row>
    <row r="2089" spans="1:9" x14ac:dyDescent="0.25">
      <c r="A2089">
        <v>1042</v>
      </c>
      <c r="B2089" s="1">
        <v>45539</v>
      </c>
      <c r="C2089">
        <v>257</v>
      </c>
      <c r="D2089">
        <v>8</v>
      </c>
      <c r="E2089">
        <v>2</v>
      </c>
      <c r="F2089">
        <v>4</v>
      </c>
      <c r="G2089" t="s">
        <v>1044</v>
      </c>
      <c r="H2089">
        <f>_xlfn.XLOOKUP(D2089, productos!$A$2:$A$150, productos!$D$2:$D$150, "No Encontrado", 0)</f>
        <v>16.21</v>
      </c>
      <c r="I2089">
        <f t="shared" si="32"/>
        <v>32.42</v>
      </c>
    </row>
    <row r="2090" spans="1:9" x14ac:dyDescent="0.25">
      <c r="A2090">
        <v>1429</v>
      </c>
      <c r="B2090" s="1">
        <v>45539</v>
      </c>
      <c r="C2090">
        <v>23</v>
      </c>
      <c r="D2090">
        <v>26</v>
      </c>
      <c r="E2090">
        <v>2</v>
      </c>
      <c r="F2090">
        <v>5</v>
      </c>
      <c r="G2090" t="s">
        <v>1045</v>
      </c>
      <c r="H2090">
        <f>_xlfn.XLOOKUP(D2090, productos!$A$2:$A$150, productos!$D$2:$D$150, "No Encontrado", 0)</f>
        <v>9.5399999999999991</v>
      </c>
      <c r="I2090">
        <f t="shared" si="32"/>
        <v>19.079999999999998</v>
      </c>
    </row>
    <row r="2091" spans="1:9" x14ac:dyDescent="0.25">
      <c r="A2091">
        <v>1430</v>
      </c>
      <c r="B2091" s="1">
        <v>45539</v>
      </c>
      <c r="C2091">
        <v>302</v>
      </c>
      <c r="D2091">
        <v>19</v>
      </c>
      <c r="E2091">
        <v>3</v>
      </c>
      <c r="F2091">
        <v>1</v>
      </c>
      <c r="G2091" t="s">
        <v>1044</v>
      </c>
      <c r="H2091">
        <f>_xlfn.XLOOKUP(D2091, productos!$A$2:$A$150, productos!$D$2:$D$150, "No Encontrado", 0)</f>
        <v>6.54</v>
      </c>
      <c r="I2091">
        <f t="shared" si="32"/>
        <v>19.62</v>
      </c>
    </row>
    <row r="2092" spans="1:9" x14ac:dyDescent="0.25">
      <c r="A2092">
        <v>2538</v>
      </c>
      <c r="B2092" s="1">
        <v>45539</v>
      </c>
      <c r="C2092">
        <v>141</v>
      </c>
      <c r="D2092">
        <v>30</v>
      </c>
      <c r="E2092">
        <v>5</v>
      </c>
      <c r="F2092">
        <v>3</v>
      </c>
      <c r="G2092" t="s">
        <v>1044</v>
      </c>
      <c r="H2092">
        <f>_xlfn.XLOOKUP(D2092, productos!$A$2:$A$150, productos!$D$2:$D$150, "No Encontrado", 0)</f>
        <v>13.54</v>
      </c>
      <c r="I2092">
        <f t="shared" si="32"/>
        <v>67.699999999999989</v>
      </c>
    </row>
    <row r="2093" spans="1:9" x14ac:dyDescent="0.25">
      <c r="A2093">
        <v>476</v>
      </c>
      <c r="B2093" s="1">
        <v>45540</v>
      </c>
      <c r="C2093">
        <v>209</v>
      </c>
      <c r="D2093">
        <v>38</v>
      </c>
      <c r="E2093">
        <v>5</v>
      </c>
      <c r="F2093">
        <v>2</v>
      </c>
      <c r="G2093" t="s">
        <v>1044</v>
      </c>
      <c r="H2093">
        <f>_xlfn.XLOOKUP(D2093, productos!$A$2:$A$150, productos!$D$2:$D$150, "No Encontrado", 0)</f>
        <v>6.21</v>
      </c>
      <c r="I2093">
        <f t="shared" si="32"/>
        <v>31.05</v>
      </c>
    </row>
    <row r="2094" spans="1:9" x14ac:dyDescent="0.25">
      <c r="A2094">
        <v>1134</v>
      </c>
      <c r="B2094" s="1">
        <v>45540</v>
      </c>
      <c r="C2094">
        <v>138</v>
      </c>
      <c r="D2094">
        <v>30</v>
      </c>
      <c r="E2094">
        <v>2</v>
      </c>
      <c r="F2094">
        <v>4</v>
      </c>
      <c r="G2094" t="s">
        <v>1045</v>
      </c>
      <c r="H2094">
        <f>_xlfn.XLOOKUP(D2094, productos!$A$2:$A$150, productos!$D$2:$D$150, "No Encontrado", 0)</f>
        <v>13.54</v>
      </c>
      <c r="I2094">
        <f t="shared" si="32"/>
        <v>27.08</v>
      </c>
    </row>
    <row r="2095" spans="1:9" x14ac:dyDescent="0.25">
      <c r="A2095">
        <v>1550</v>
      </c>
      <c r="B2095" s="1">
        <v>45540</v>
      </c>
      <c r="C2095">
        <v>125</v>
      </c>
      <c r="D2095">
        <v>6</v>
      </c>
      <c r="E2095">
        <v>4</v>
      </c>
      <c r="F2095">
        <v>1</v>
      </c>
      <c r="G2095" t="s">
        <v>1044</v>
      </c>
      <c r="H2095">
        <f>_xlfn.XLOOKUP(D2095, productos!$A$2:$A$150, productos!$D$2:$D$150, "No Encontrado", 0)</f>
        <v>28.56</v>
      </c>
      <c r="I2095">
        <f t="shared" si="32"/>
        <v>114.24</v>
      </c>
    </row>
    <row r="2096" spans="1:9" x14ac:dyDescent="0.25">
      <c r="A2096">
        <v>2530</v>
      </c>
      <c r="B2096" s="1">
        <v>45540</v>
      </c>
      <c r="C2096">
        <v>218</v>
      </c>
      <c r="D2096">
        <v>4</v>
      </c>
      <c r="E2096">
        <v>1</v>
      </c>
      <c r="F2096">
        <v>4</v>
      </c>
      <c r="G2096" t="s">
        <v>1044</v>
      </c>
      <c r="H2096">
        <f>_xlfn.XLOOKUP(D2096, productos!$A$2:$A$150, productos!$D$2:$D$150, "No Encontrado", 0)</f>
        <v>19.23</v>
      </c>
      <c r="I2096">
        <f t="shared" si="32"/>
        <v>19.23</v>
      </c>
    </row>
    <row r="2097" spans="1:9" x14ac:dyDescent="0.25">
      <c r="A2097">
        <v>862</v>
      </c>
      <c r="B2097" s="1">
        <v>45541</v>
      </c>
      <c r="C2097">
        <v>284</v>
      </c>
      <c r="D2097">
        <v>17</v>
      </c>
      <c r="E2097">
        <v>5</v>
      </c>
      <c r="F2097">
        <v>4</v>
      </c>
      <c r="G2097" t="s">
        <v>1044</v>
      </c>
      <c r="H2097">
        <f>_xlfn.XLOOKUP(D2097, productos!$A$2:$A$150, productos!$D$2:$D$150, "No Encontrado", 0)</f>
        <v>6.54</v>
      </c>
      <c r="I2097">
        <f t="shared" si="32"/>
        <v>32.700000000000003</v>
      </c>
    </row>
    <row r="2098" spans="1:9" x14ac:dyDescent="0.25">
      <c r="A2098">
        <v>1526</v>
      </c>
      <c r="B2098" s="1">
        <v>45541</v>
      </c>
      <c r="C2098">
        <v>229</v>
      </c>
      <c r="D2098">
        <v>19</v>
      </c>
      <c r="E2098">
        <v>5</v>
      </c>
      <c r="F2098">
        <v>3</v>
      </c>
      <c r="G2098" t="s">
        <v>1044</v>
      </c>
      <c r="H2098">
        <f>_xlfn.XLOOKUP(D2098, productos!$A$2:$A$150, productos!$D$2:$D$150, "No Encontrado", 0)</f>
        <v>6.54</v>
      </c>
      <c r="I2098">
        <f t="shared" si="32"/>
        <v>32.700000000000003</v>
      </c>
    </row>
    <row r="2099" spans="1:9" x14ac:dyDescent="0.25">
      <c r="A2099">
        <v>2025</v>
      </c>
      <c r="B2099" s="1">
        <v>45541</v>
      </c>
      <c r="C2099">
        <v>59</v>
      </c>
      <c r="D2099">
        <v>4</v>
      </c>
      <c r="E2099">
        <v>1</v>
      </c>
      <c r="F2099">
        <v>1</v>
      </c>
      <c r="G2099" t="s">
        <v>1044</v>
      </c>
      <c r="H2099">
        <f>_xlfn.XLOOKUP(D2099, productos!$A$2:$A$150, productos!$D$2:$D$150, "No Encontrado", 0)</f>
        <v>19.23</v>
      </c>
      <c r="I2099">
        <f t="shared" si="32"/>
        <v>19.23</v>
      </c>
    </row>
    <row r="2100" spans="1:9" x14ac:dyDescent="0.25">
      <c r="A2100">
        <v>2607</v>
      </c>
      <c r="B2100" s="1">
        <v>45541</v>
      </c>
      <c r="C2100">
        <v>214</v>
      </c>
      <c r="D2100">
        <v>38</v>
      </c>
      <c r="E2100">
        <v>1</v>
      </c>
      <c r="F2100">
        <v>1</v>
      </c>
      <c r="G2100" t="s">
        <v>1044</v>
      </c>
      <c r="H2100">
        <f>_xlfn.XLOOKUP(D2100, productos!$A$2:$A$150, productos!$D$2:$D$150, "No Encontrado", 0)</f>
        <v>6.21</v>
      </c>
      <c r="I2100">
        <f t="shared" si="32"/>
        <v>6.21</v>
      </c>
    </row>
    <row r="2101" spans="1:9" x14ac:dyDescent="0.25">
      <c r="A2101">
        <v>2612</v>
      </c>
      <c r="B2101" s="1">
        <v>45541</v>
      </c>
      <c r="C2101">
        <v>165</v>
      </c>
      <c r="D2101">
        <v>20</v>
      </c>
      <c r="E2101">
        <v>4</v>
      </c>
      <c r="F2101">
        <v>1</v>
      </c>
      <c r="G2101" t="s">
        <v>1044</v>
      </c>
      <c r="H2101">
        <f>_xlfn.XLOOKUP(D2101, productos!$A$2:$A$150, productos!$D$2:$D$150, "No Encontrado", 0)</f>
        <v>4.25</v>
      </c>
      <c r="I2101">
        <f t="shared" si="32"/>
        <v>17</v>
      </c>
    </row>
    <row r="2102" spans="1:9" x14ac:dyDescent="0.25">
      <c r="A2102">
        <v>2714</v>
      </c>
      <c r="B2102" s="1">
        <v>45541</v>
      </c>
      <c r="C2102">
        <v>21</v>
      </c>
      <c r="D2102">
        <v>1</v>
      </c>
      <c r="E2102">
        <v>2</v>
      </c>
      <c r="F2102">
        <v>3</v>
      </c>
      <c r="G2102" t="s">
        <v>1044</v>
      </c>
      <c r="H2102">
        <f>_xlfn.XLOOKUP(D2102, productos!$A$2:$A$150, productos!$D$2:$D$150, "No Encontrado", 0)</f>
        <v>12.24</v>
      </c>
      <c r="I2102">
        <f t="shared" si="32"/>
        <v>24.48</v>
      </c>
    </row>
    <row r="2103" spans="1:9" x14ac:dyDescent="0.25">
      <c r="A2103">
        <v>615</v>
      </c>
      <c r="B2103" s="1">
        <v>45542</v>
      </c>
      <c r="C2103">
        <v>205</v>
      </c>
      <c r="D2103">
        <v>17</v>
      </c>
      <c r="E2103">
        <v>4</v>
      </c>
      <c r="F2103">
        <v>1</v>
      </c>
      <c r="G2103" t="s">
        <v>1044</v>
      </c>
      <c r="H2103">
        <f>_xlfn.XLOOKUP(D2103, productos!$A$2:$A$150, productos!$D$2:$D$150, "No Encontrado", 0)</f>
        <v>6.54</v>
      </c>
      <c r="I2103">
        <f t="shared" si="32"/>
        <v>26.16</v>
      </c>
    </row>
    <row r="2104" spans="1:9" x14ac:dyDescent="0.25">
      <c r="A2104">
        <v>811</v>
      </c>
      <c r="B2104" s="1">
        <v>45542</v>
      </c>
      <c r="C2104">
        <v>52</v>
      </c>
      <c r="D2104">
        <v>13</v>
      </c>
      <c r="E2104">
        <v>3</v>
      </c>
      <c r="F2104">
        <v>5</v>
      </c>
      <c r="G2104" t="s">
        <v>1044</v>
      </c>
      <c r="H2104">
        <f>_xlfn.XLOOKUP(D2104, productos!$A$2:$A$150, productos!$D$2:$D$150, "No Encontrado", 0)</f>
        <v>12.56</v>
      </c>
      <c r="I2104">
        <f t="shared" si="32"/>
        <v>37.68</v>
      </c>
    </row>
    <row r="2105" spans="1:9" x14ac:dyDescent="0.25">
      <c r="A2105">
        <v>882</v>
      </c>
      <c r="B2105" s="1">
        <v>45542</v>
      </c>
      <c r="C2105">
        <v>288</v>
      </c>
      <c r="D2105">
        <v>32</v>
      </c>
      <c r="E2105">
        <v>5</v>
      </c>
      <c r="F2105">
        <v>2</v>
      </c>
      <c r="G2105" t="s">
        <v>1044</v>
      </c>
      <c r="H2105">
        <f>_xlfn.XLOOKUP(D2105, productos!$A$2:$A$150, productos!$D$2:$D$150, "No Encontrado", 0)</f>
        <v>6.25</v>
      </c>
      <c r="I2105">
        <f t="shared" si="32"/>
        <v>31.25</v>
      </c>
    </row>
    <row r="2106" spans="1:9" x14ac:dyDescent="0.25">
      <c r="A2106">
        <v>927</v>
      </c>
      <c r="B2106" s="1">
        <v>45542</v>
      </c>
      <c r="C2106">
        <v>242</v>
      </c>
      <c r="D2106">
        <v>21</v>
      </c>
      <c r="E2106">
        <v>3</v>
      </c>
      <c r="F2106">
        <v>4</v>
      </c>
      <c r="G2106" t="s">
        <v>1044</v>
      </c>
      <c r="H2106">
        <f>_xlfn.XLOOKUP(D2106, productos!$A$2:$A$150, productos!$D$2:$D$150, "No Encontrado", 0)</f>
        <v>3.25</v>
      </c>
      <c r="I2106">
        <f t="shared" si="32"/>
        <v>9.75</v>
      </c>
    </row>
    <row r="2107" spans="1:9" x14ac:dyDescent="0.25">
      <c r="A2107">
        <v>2075</v>
      </c>
      <c r="B2107" s="1">
        <v>45542</v>
      </c>
      <c r="C2107">
        <v>245</v>
      </c>
      <c r="D2107">
        <v>11</v>
      </c>
      <c r="E2107">
        <v>5</v>
      </c>
      <c r="F2107">
        <v>2</v>
      </c>
      <c r="G2107" t="s">
        <v>1045</v>
      </c>
      <c r="H2107">
        <f>_xlfn.XLOOKUP(D2107, productos!$A$2:$A$150, productos!$D$2:$D$150, "No Encontrado", 0)</f>
        <v>11.23</v>
      </c>
      <c r="I2107">
        <f t="shared" si="32"/>
        <v>56.150000000000006</v>
      </c>
    </row>
    <row r="2108" spans="1:9" x14ac:dyDescent="0.25">
      <c r="A2108">
        <v>2455</v>
      </c>
      <c r="B2108" s="1">
        <v>45542</v>
      </c>
      <c r="C2108">
        <v>316</v>
      </c>
      <c r="D2108">
        <v>6</v>
      </c>
      <c r="E2108">
        <v>5</v>
      </c>
      <c r="F2108">
        <v>5</v>
      </c>
      <c r="G2108" t="s">
        <v>1045</v>
      </c>
      <c r="H2108">
        <f>_xlfn.XLOOKUP(D2108, productos!$A$2:$A$150, productos!$D$2:$D$150, "No Encontrado", 0)</f>
        <v>28.56</v>
      </c>
      <c r="I2108">
        <f t="shared" si="32"/>
        <v>142.79999999999998</v>
      </c>
    </row>
    <row r="2109" spans="1:9" x14ac:dyDescent="0.25">
      <c r="A2109">
        <v>2459</v>
      </c>
      <c r="B2109" s="1">
        <v>45542</v>
      </c>
      <c r="C2109">
        <v>61</v>
      </c>
      <c r="D2109">
        <v>33</v>
      </c>
      <c r="E2109">
        <v>6</v>
      </c>
      <c r="F2109">
        <v>1</v>
      </c>
      <c r="G2109" t="s">
        <v>1044</v>
      </c>
      <c r="H2109">
        <f>_xlfn.XLOOKUP(D2109, productos!$A$2:$A$150, productos!$D$2:$D$150, "No Encontrado", 0)</f>
        <v>8.5399999999999991</v>
      </c>
      <c r="I2109">
        <f t="shared" si="32"/>
        <v>51.239999999999995</v>
      </c>
    </row>
    <row r="2110" spans="1:9" x14ac:dyDescent="0.25">
      <c r="A2110">
        <v>442</v>
      </c>
      <c r="B2110" s="1">
        <v>45543</v>
      </c>
      <c r="C2110">
        <v>48</v>
      </c>
      <c r="D2110">
        <v>34</v>
      </c>
      <c r="E2110">
        <v>3</v>
      </c>
      <c r="F2110">
        <v>5</v>
      </c>
      <c r="G2110" t="s">
        <v>1044</v>
      </c>
      <c r="H2110">
        <f>_xlfn.XLOOKUP(D2110, productos!$A$2:$A$150, productos!$D$2:$D$150, "No Encontrado", 0)</f>
        <v>5.45</v>
      </c>
      <c r="I2110">
        <f t="shared" si="32"/>
        <v>16.350000000000001</v>
      </c>
    </row>
    <row r="2111" spans="1:9" x14ac:dyDescent="0.25">
      <c r="A2111">
        <v>527</v>
      </c>
      <c r="B2111" s="1">
        <v>45543</v>
      </c>
      <c r="C2111">
        <v>13</v>
      </c>
      <c r="D2111">
        <v>10</v>
      </c>
      <c r="E2111">
        <v>6</v>
      </c>
      <c r="F2111">
        <v>3</v>
      </c>
      <c r="G2111" t="s">
        <v>1044</v>
      </c>
      <c r="H2111">
        <f>_xlfn.XLOOKUP(D2111, productos!$A$2:$A$150, productos!$D$2:$D$150, "No Encontrado", 0)</f>
        <v>14.25</v>
      </c>
      <c r="I2111">
        <f t="shared" si="32"/>
        <v>85.5</v>
      </c>
    </row>
    <row r="2112" spans="1:9" x14ac:dyDescent="0.25">
      <c r="A2112">
        <v>761</v>
      </c>
      <c r="B2112" s="1">
        <v>45543</v>
      </c>
      <c r="C2112">
        <v>16</v>
      </c>
      <c r="D2112">
        <v>34</v>
      </c>
      <c r="E2112">
        <v>6</v>
      </c>
      <c r="F2112">
        <v>5</v>
      </c>
      <c r="G2112" t="s">
        <v>1044</v>
      </c>
      <c r="H2112">
        <f>_xlfn.XLOOKUP(D2112, productos!$A$2:$A$150, productos!$D$2:$D$150, "No Encontrado", 0)</f>
        <v>5.45</v>
      </c>
      <c r="I2112">
        <f t="shared" si="32"/>
        <v>32.700000000000003</v>
      </c>
    </row>
    <row r="2113" spans="1:9" x14ac:dyDescent="0.25">
      <c r="A2113">
        <v>1252</v>
      </c>
      <c r="B2113" s="1">
        <v>45543</v>
      </c>
      <c r="C2113">
        <v>50</v>
      </c>
      <c r="D2113">
        <v>36</v>
      </c>
      <c r="E2113">
        <v>3</v>
      </c>
      <c r="F2113">
        <v>5</v>
      </c>
      <c r="G2113" t="s">
        <v>1045</v>
      </c>
      <c r="H2113">
        <f>_xlfn.XLOOKUP(D2113, productos!$A$2:$A$150, productos!$D$2:$D$150, "No Encontrado", 0)</f>
        <v>3.25</v>
      </c>
      <c r="I2113">
        <f t="shared" si="32"/>
        <v>9.75</v>
      </c>
    </row>
    <row r="2114" spans="1:9" x14ac:dyDescent="0.25">
      <c r="A2114">
        <v>1371</v>
      </c>
      <c r="B2114" s="1">
        <v>45543</v>
      </c>
      <c r="C2114">
        <v>72</v>
      </c>
      <c r="D2114">
        <v>15</v>
      </c>
      <c r="E2114">
        <v>6</v>
      </c>
      <c r="F2114">
        <v>3</v>
      </c>
      <c r="G2114" t="s">
        <v>1044</v>
      </c>
      <c r="H2114">
        <f>_xlfn.XLOOKUP(D2114, productos!$A$2:$A$150, productos!$D$2:$D$150, "No Encontrado", 0)</f>
        <v>3.51</v>
      </c>
      <c r="I2114">
        <f t="shared" si="32"/>
        <v>21.06</v>
      </c>
    </row>
    <row r="2115" spans="1:9" x14ac:dyDescent="0.25">
      <c r="A2115">
        <v>2200</v>
      </c>
      <c r="B2115" s="1">
        <v>45543</v>
      </c>
      <c r="C2115">
        <v>115</v>
      </c>
      <c r="D2115">
        <v>28</v>
      </c>
      <c r="E2115">
        <v>1</v>
      </c>
      <c r="F2115">
        <v>1</v>
      </c>
      <c r="G2115" t="s">
        <v>1044</v>
      </c>
      <c r="H2115">
        <f>_xlfn.XLOOKUP(D2115, productos!$A$2:$A$150, productos!$D$2:$D$150, "No Encontrado", 0)</f>
        <v>9.4499999999999993</v>
      </c>
      <c r="I2115">
        <f t="shared" ref="I2115:I2178" si="33">E2115*H2115</f>
        <v>9.4499999999999993</v>
      </c>
    </row>
    <row r="2116" spans="1:9" x14ac:dyDescent="0.25">
      <c r="A2116">
        <v>2592</v>
      </c>
      <c r="B2116" s="1">
        <v>45543</v>
      </c>
      <c r="C2116">
        <v>98</v>
      </c>
      <c r="D2116">
        <v>8</v>
      </c>
      <c r="E2116">
        <v>5</v>
      </c>
      <c r="F2116">
        <v>5</v>
      </c>
      <c r="G2116" t="s">
        <v>1044</v>
      </c>
      <c r="H2116">
        <f>_xlfn.XLOOKUP(D2116, productos!$A$2:$A$150, productos!$D$2:$D$150, "No Encontrado", 0)</f>
        <v>16.21</v>
      </c>
      <c r="I2116">
        <f t="shared" si="33"/>
        <v>81.050000000000011</v>
      </c>
    </row>
    <row r="2117" spans="1:9" x14ac:dyDescent="0.25">
      <c r="A2117">
        <v>402</v>
      </c>
      <c r="B2117" s="1">
        <v>45544</v>
      </c>
      <c r="C2117">
        <v>45</v>
      </c>
      <c r="D2117">
        <v>25</v>
      </c>
      <c r="E2117">
        <v>1</v>
      </c>
      <c r="F2117">
        <v>5</v>
      </c>
      <c r="G2117" t="s">
        <v>1044</v>
      </c>
      <c r="H2117">
        <f>_xlfn.XLOOKUP(D2117, productos!$A$2:$A$150, productos!$D$2:$D$150, "No Encontrado", 0)</f>
        <v>15.45</v>
      </c>
      <c r="I2117">
        <f t="shared" si="33"/>
        <v>15.45</v>
      </c>
    </row>
    <row r="2118" spans="1:9" x14ac:dyDescent="0.25">
      <c r="A2118">
        <v>582</v>
      </c>
      <c r="B2118" s="1">
        <v>45544</v>
      </c>
      <c r="C2118">
        <v>266</v>
      </c>
      <c r="D2118">
        <v>21</v>
      </c>
      <c r="E2118">
        <v>3</v>
      </c>
      <c r="F2118">
        <v>5</v>
      </c>
      <c r="G2118" t="s">
        <v>1044</v>
      </c>
      <c r="H2118">
        <f>_xlfn.XLOOKUP(D2118, productos!$A$2:$A$150, productos!$D$2:$D$150, "No Encontrado", 0)</f>
        <v>3.25</v>
      </c>
      <c r="I2118">
        <f t="shared" si="33"/>
        <v>9.75</v>
      </c>
    </row>
    <row r="2119" spans="1:9" x14ac:dyDescent="0.25">
      <c r="A2119">
        <v>1821</v>
      </c>
      <c r="B2119" s="1">
        <v>45544</v>
      </c>
      <c r="C2119">
        <v>143</v>
      </c>
      <c r="D2119">
        <v>16</v>
      </c>
      <c r="E2119">
        <v>1</v>
      </c>
      <c r="F2119">
        <v>4</v>
      </c>
      <c r="G2119" t="s">
        <v>1044</v>
      </c>
      <c r="H2119">
        <f>_xlfn.XLOOKUP(D2119, productos!$A$2:$A$150, productos!$D$2:$D$150, "No Encontrado", 0)</f>
        <v>15.23</v>
      </c>
      <c r="I2119">
        <f t="shared" si="33"/>
        <v>15.23</v>
      </c>
    </row>
    <row r="2120" spans="1:9" x14ac:dyDescent="0.25">
      <c r="A2120">
        <v>726</v>
      </c>
      <c r="B2120" s="1">
        <v>45545</v>
      </c>
      <c r="C2120">
        <v>161</v>
      </c>
      <c r="D2120">
        <v>32</v>
      </c>
      <c r="E2120">
        <v>2</v>
      </c>
      <c r="F2120">
        <v>4</v>
      </c>
      <c r="G2120" t="s">
        <v>1044</v>
      </c>
      <c r="H2120">
        <f>_xlfn.XLOOKUP(D2120, productos!$A$2:$A$150, productos!$D$2:$D$150, "No Encontrado", 0)</f>
        <v>6.25</v>
      </c>
      <c r="I2120">
        <f t="shared" si="33"/>
        <v>12.5</v>
      </c>
    </row>
    <row r="2121" spans="1:9" x14ac:dyDescent="0.25">
      <c r="A2121">
        <v>2359</v>
      </c>
      <c r="B2121" s="1">
        <v>45545</v>
      </c>
      <c r="C2121">
        <v>230</v>
      </c>
      <c r="D2121">
        <v>35</v>
      </c>
      <c r="E2121">
        <v>1</v>
      </c>
      <c r="F2121">
        <v>4</v>
      </c>
      <c r="G2121" t="s">
        <v>1045</v>
      </c>
      <c r="H2121">
        <f>_xlfn.XLOOKUP(D2121, productos!$A$2:$A$150, productos!$D$2:$D$150, "No Encontrado", 0)</f>
        <v>4.25</v>
      </c>
      <c r="I2121">
        <f t="shared" si="33"/>
        <v>4.25</v>
      </c>
    </row>
    <row r="2122" spans="1:9" x14ac:dyDescent="0.25">
      <c r="A2122">
        <v>2744</v>
      </c>
      <c r="B2122" s="1">
        <v>45545</v>
      </c>
      <c r="C2122">
        <v>301</v>
      </c>
      <c r="D2122">
        <v>36</v>
      </c>
      <c r="E2122">
        <v>3</v>
      </c>
      <c r="F2122">
        <v>4</v>
      </c>
      <c r="G2122" t="s">
        <v>1044</v>
      </c>
      <c r="H2122">
        <f>_xlfn.XLOOKUP(D2122, productos!$A$2:$A$150, productos!$D$2:$D$150, "No Encontrado", 0)</f>
        <v>3.25</v>
      </c>
      <c r="I2122">
        <f t="shared" si="33"/>
        <v>9.75</v>
      </c>
    </row>
    <row r="2123" spans="1:9" x14ac:dyDescent="0.25">
      <c r="A2123">
        <v>1649</v>
      </c>
      <c r="B2123" s="1">
        <v>45546</v>
      </c>
      <c r="C2123">
        <v>189</v>
      </c>
      <c r="D2123">
        <v>37</v>
      </c>
      <c r="E2123">
        <v>2</v>
      </c>
      <c r="F2123">
        <v>4</v>
      </c>
      <c r="G2123" t="s">
        <v>1044</v>
      </c>
      <c r="H2123">
        <f>_xlfn.XLOOKUP(D2123, productos!$A$2:$A$150, productos!$D$2:$D$150, "No Encontrado", 0)</f>
        <v>3.65</v>
      </c>
      <c r="I2123">
        <f t="shared" si="33"/>
        <v>7.3</v>
      </c>
    </row>
    <row r="2124" spans="1:9" x14ac:dyDescent="0.25">
      <c r="A2124">
        <v>1854</v>
      </c>
      <c r="B2124" s="1">
        <v>45546</v>
      </c>
      <c r="C2124">
        <v>303</v>
      </c>
      <c r="D2124">
        <v>4</v>
      </c>
      <c r="E2124">
        <v>5</v>
      </c>
      <c r="F2124">
        <v>4</v>
      </c>
      <c r="G2124" t="s">
        <v>1044</v>
      </c>
      <c r="H2124">
        <f>_xlfn.XLOOKUP(D2124, productos!$A$2:$A$150, productos!$D$2:$D$150, "No Encontrado", 0)</f>
        <v>19.23</v>
      </c>
      <c r="I2124">
        <f t="shared" si="33"/>
        <v>96.15</v>
      </c>
    </row>
    <row r="2125" spans="1:9" x14ac:dyDescent="0.25">
      <c r="A2125">
        <v>2220</v>
      </c>
      <c r="B2125" s="1">
        <v>45546</v>
      </c>
      <c r="C2125">
        <v>317</v>
      </c>
      <c r="D2125">
        <v>26</v>
      </c>
      <c r="E2125">
        <v>3</v>
      </c>
      <c r="F2125">
        <v>5</v>
      </c>
      <c r="G2125" t="s">
        <v>1044</v>
      </c>
      <c r="H2125">
        <f>_xlfn.XLOOKUP(D2125, productos!$A$2:$A$150, productos!$D$2:$D$150, "No Encontrado", 0)</f>
        <v>9.5399999999999991</v>
      </c>
      <c r="I2125">
        <f t="shared" si="33"/>
        <v>28.619999999999997</v>
      </c>
    </row>
    <row r="2126" spans="1:9" x14ac:dyDescent="0.25">
      <c r="A2126">
        <v>2489</v>
      </c>
      <c r="B2126" s="1">
        <v>45546</v>
      </c>
      <c r="C2126">
        <v>266</v>
      </c>
      <c r="D2126">
        <v>34</v>
      </c>
      <c r="E2126">
        <v>3</v>
      </c>
      <c r="F2126">
        <v>5</v>
      </c>
      <c r="G2126" t="s">
        <v>1044</v>
      </c>
      <c r="H2126">
        <f>_xlfn.XLOOKUP(D2126, productos!$A$2:$A$150, productos!$D$2:$D$150, "No Encontrado", 0)</f>
        <v>5.45</v>
      </c>
      <c r="I2126">
        <f t="shared" si="33"/>
        <v>16.350000000000001</v>
      </c>
    </row>
    <row r="2127" spans="1:9" x14ac:dyDescent="0.25">
      <c r="A2127">
        <v>2649</v>
      </c>
      <c r="B2127" s="1">
        <v>45546</v>
      </c>
      <c r="C2127">
        <v>294</v>
      </c>
      <c r="D2127">
        <v>28</v>
      </c>
      <c r="E2127">
        <v>1</v>
      </c>
      <c r="F2127">
        <v>4</v>
      </c>
      <c r="G2127" t="s">
        <v>1045</v>
      </c>
      <c r="H2127">
        <f>_xlfn.XLOOKUP(D2127, productos!$A$2:$A$150, productos!$D$2:$D$150, "No Encontrado", 0)</f>
        <v>9.4499999999999993</v>
      </c>
      <c r="I2127">
        <f t="shared" si="33"/>
        <v>9.4499999999999993</v>
      </c>
    </row>
    <row r="2128" spans="1:9" x14ac:dyDescent="0.25">
      <c r="A2128">
        <v>2809</v>
      </c>
      <c r="B2128" s="1">
        <v>45546</v>
      </c>
      <c r="C2128">
        <v>276</v>
      </c>
      <c r="D2128">
        <v>8</v>
      </c>
      <c r="E2128">
        <v>5</v>
      </c>
      <c r="F2128">
        <v>5</v>
      </c>
      <c r="G2128" t="s">
        <v>1045</v>
      </c>
      <c r="H2128">
        <f>_xlfn.XLOOKUP(D2128, productos!$A$2:$A$150, productos!$D$2:$D$150, "No Encontrado", 0)</f>
        <v>16.21</v>
      </c>
      <c r="I2128">
        <f t="shared" si="33"/>
        <v>81.050000000000011</v>
      </c>
    </row>
    <row r="2129" spans="1:9" x14ac:dyDescent="0.25">
      <c r="A2129">
        <v>2878</v>
      </c>
      <c r="B2129" s="1">
        <v>45546</v>
      </c>
      <c r="C2129">
        <v>180</v>
      </c>
      <c r="D2129">
        <v>27</v>
      </c>
      <c r="E2129">
        <v>4</v>
      </c>
      <c r="F2129">
        <v>4</v>
      </c>
      <c r="G2129" t="s">
        <v>1044</v>
      </c>
      <c r="H2129">
        <f>_xlfn.XLOOKUP(D2129, productos!$A$2:$A$150, productos!$D$2:$D$150, "No Encontrado", 0)</f>
        <v>6.21</v>
      </c>
      <c r="I2129">
        <f t="shared" si="33"/>
        <v>24.84</v>
      </c>
    </row>
    <row r="2130" spans="1:9" x14ac:dyDescent="0.25">
      <c r="A2130">
        <v>958</v>
      </c>
      <c r="B2130" s="1">
        <v>45547</v>
      </c>
      <c r="C2130">
        <v>80</v>
      </c>
      <c r="D2130">
        <v>11</v>
      </c>
      <c r="E2130">
        <v>3</v>
      </c>
      <c r="F2130">
        <v>3</v>
      </c>
      <c r="G2130" t="s">
        <v>1044</v>
      </c>
      <c r="H2130">
        <f>_xlfn.XLOOKUP(D2130, productos!$A$2:$A$150, productos!$D$2:$D$150, "No Encontrado", 0)</f>
        <v>11.23</v>
      </c>
      <c r="I2130">
        <f t="shared" si="33"/>
        <v>33.69</v>
      </c>
    </row>
    <row r="2131" spans="1:9" x14ac:dyDescent="0.25">
      <c r="A2131">
        <v>1466</v>
      </c>
      <c r="B2131" s="1">
        <v>45547</v>
      </c>
      <c r="C2131">
        <v>215</v>
      </c>
      <c r="D2131">
        <v>17</v>
      </c>
      <c r="E2131">
        <v>1</v>
      </c>
      <c r="F2131">
        <v>1</v>
      </c>
      <c r="G2131" t="s">
        <v>1044</v>
      </c>
      <c r="H2131">
        <f>_xlfn.XLOOKUP(D2131, productos!$A$2:$A$150, productos!$D$2:$D$150, "No Encontrado", 0)</f>
        <v>6.54</v>
      </c>
      <c r="I2131">
        <f t="shared" si="33"/>
        <v>6.54</v>
      </c>
    </row>
    <row r="2132" spans="1:9" x14ac:dyDescent="0.25">
      <c r="A2132">
        <v>2106</v>
      </c>
      <c r="B2132" s="1">
        <v>45547</v>
      </c>
      <c r="C2132">
        <v>135</v>
      </c>
      <c r="D2132">
        <v>14</v>
      </c>
      <c r="E2132">
        <v>2</v>
      </c>
      <c r="F2132">
        <v>1</v>
      </c>
      <c r="G2132" t="s">
        <v>1044</v>
      </c>
      <c r="H2132">
        <f>_xlfn.XLOOKUP(D2132, productos!$A$2:$A$150, productos!$D$2:$D$150, "No Encontrado", 0)</f>
        <v>12.36</v>
      </c>
      <c r="I2132">
        <f t="shared" si="33"/>
        <v>24.72</v>
      </c>
    </row>
    <row r="2133" spans="1:9" x14ac:dyDescent="0.25">
      <c r="A2133">
        <v>2192</v>
      </c>
      <c r="B2133" s="1">
        <v>45547</v>
      </c>
      <c r="C2133">
        <v>167</v>
      </c>
      <c r="D2133">
        <v>26</v>
      </c>
      <c r="E2133">
        <v>6</v>
      </c>
      <c r="F2133">
        <v>4</v>
      </c>
      <c r="G2133" t="s">
        <v>1044</v>
      </c>
      <c r="H2133">
        <f>_xlfn.XLOOKUP(D2133, productos!$A$2:$A$150, productos!$D$2:$D$150, "No Encontrado", 0)</f>
        <v>9.5399999999999991</v>
      </c>
      <c r="I2133">
        <f t="shared" si="33"/>
        <v>57.239999999999995</v>
      </c>
    </row>
    <row r="2134" spans="1:9" x14ac:dyDescent="0.25">
      <c r="A2134">
        <v>2708</v>
      </c>
      <c r="B2134" s="1">
        <v>45547</v>
      </c>
      <c r="C2134">
        <v>233</v>
      </c>
      <c r="D2134">
        <v>29</v>
      </c>
      <c r="E2134">
        <v>5</v>
      </c>
      <c r="F2134">
        <v>3</v>
      </c>
      <c r="G2134" t="s">
        <v>1044</v>
      </c>
      <c r="H2134">
        <f>_xlfn.XLOOKUP(D2134, productos!$A$2:$A$150, productos!$D$2:$D$150, "No Encontrado", 0)</f>
        <v>11.54</v>
      </c>
      <c r="I2134">
        <f t="shared" si="33"/>
        <v>57.699999999999996</v>
      </c>
    </row>
    <row r="2135" spans="1:9" x14ac:dyDescent="0.25">
      <c r="A2135">
        <v>1132</v>
      </c>
      <c r="B2135" s="1">
        <v>45548</v>
      </c>
      <c r="C2135">
        <v>88</v>
      </c>
      <c r="D2135">
        <v>22</v>
      </c>
      <c r="E2135">
        <v>1</v>
      </c>
      <c r="F2135">
        <v>4</v>
      </c>
      <c r="G2135" t="s">
        <v>1044</v>
      </c>
      <c r="H2135">
        <f>_xlfn.XLOOKUP(D2135, productos!$A$2:$A$150, productos!$D$2:$D$150, "No Encontrado", 0)</f>
        <v>4.21</v>
      </c>
      <c r="I2135">
        <f t="shared" si="33"/>
        <v>4.21</v>
      </c>
    </row>
    <row r="2136" spans="1:9" x14ac:dyDescent="0.25">
      <c r="A2136">
        <v>1442</v>
      </c>
      <c r="B2136" s="1">
        <v>45548</v>
      </c>
      <c r="C2136">
        <v>4</v>
      </c>
      <c r="D2136">
        <v>17</v>
      </c>
      <c r="E2136">
        <v>4</v>
      </c>
      <c r="F2136">
        <v>2</v>
      </c>
      <c r="G2136" t="s">
        <v>1044</v>
      </c>
      <c r="H2136">
        <f>_xlfn.XLOOKUP(D2136, productos!$A$2:$A$150, productos!$D$2:$D$150, "No Encontrado", 0)</f>
        <v>6.54</v>
      </c>
      <c r="I2136">
        <f t="shared" si="33"/>
        <v>26.16</v>
      </c>
    </row>
    <row r="2137" spans="1:9" x14ac:dyDescent="0.25">
      <c r="A2137">
        <v>2154</v>
      </c>
      <c r="B2137" s="1">
        <v>45548</v>
      </c>
      <c r="C2137">
        <v>212</v>
      </c>
      <c r="D2137">
        <v>25</v>
      </c>
      <c r="E2137">
        <v>6</v>
      </c>
      <c r="F2137">
        <v>4</v>
      </c>
      <c r="G2137" t="s">
        <v>1044</v>
      </c>
      <c r="H2137">
        <f>_xlfn.XLOOKUP(D2137, productos!$A$2:$A$150, productos!$D$2:$D$150, "No Encontrado", 0)</f>
        <v>15.45</v>
      </c>
      <c r="I2137">
        <f t="shared" si="33"/>
        <v>92.699999999999989</v>
      </c>
    </row>
    <row r="2138" spans="1:9" x14ac:dyDescent="0.25">
      <c r="A2138">
        <v>1272</v>
      </c>
      <c r="B2138" s="1">
        <v>45549</v>
      </c>
      <c r="C2138">
        <v>187</v>
      </c>
      <c r="D2138">
        <v>12</v>
      </c>
      <c r="E2138">
        <v>2</v>
      </c>
      <c r="F2138">
        <v>2</v>
      </c>
      <c r="G2138" t="s">
        <v>1045</v>
      </c>
      <c r="H2138">
        <f>_xlfn.XLOOKUP(D2138, productos!$A$2:$A$150, productos!$D$2:$D$150, "No Encontrado", 0)</f>
        <v>8.1199999999999992</v>
      </c>
      <c r="I2138">
        <f t="shared" si="33"/>
        <v>16.239999999999998</v>
      </c>
    </row>
    <row r="2139" spans="1:9" x14ac:dyDescent="0.25">
      <c r="A2139">
        <v>1380</v>
      </c>
      <c r="B2139" s="1">
        <v>45549</v>
      </c>
      <c r="C2139">
        <v>126</v>
      </c>
      <c r="D2139">
        <v>22</v>
      </c>
      <c r="E2139">
        <v>2</v>
      </c>
      <c r="F2139">
        <v>1</v>
      </c>
      <c r="G2139" t="s">
        <v>1044</v>
      </c>
      <c r="H2139">
        <f>_xlfn.XLOOKUP(D2139, productos!$A$2:$A$150, productos!$D$2:$D$150, "No Encontrado", 0)</f>
        <v>4.21</v>
      </c>
      <c r="I2139">
        <f t="shared" si="33"/>
        <v>8.42</v>
      </c>
    </row>
    <row r="2140" spans="1:9" x14ac:dyDescent="0.25">
      <c r="A2140">
        <v>1762</v>
      </c>
      <c r="B2140" s="1">
        <v>45549</v>
      </c>
      <c r="C2140">
        <v>71</v>
      </c>
      <c r="D2140">
        <v>29</v>
      </c>
      <c r="E2140">
        <v>2</v>
      </c>
      <c r="F2140">
        <v>4</v>
      </c>
      <c r="G2140" t="s">
        <v>1044</v>
      </c>
      <c r="H2140">
        <f>_xlfn.XLOOKUP(D2140, productos!$A$2:$A$150, productos!$D$2:$D$150, "No Encontrado", 0)</f>
        <v>11.54</v>
      </c>
      <c r="I2140">
        <f t="shared" si="33"/>
        <v>23.08</v>
      </c>
    </row>
    <row r="2141" spans="1:9" x14ac:dyDescent="0.25">
      <c r="A2141">
        <v>1829</v>
      </c>
      <c r="B2141" s="1">
        <v>45549</v>
      </c>
      <c r="C2141">
        <v>207</v>
      </c>
      <c r="D2141">
        <v>23</v>
      </c>
      <c r="E2141">
        <v>2</v>
      </c>
      <c r="F2141">
        <v>4</v>
      </c>
      <c r="G2141" t="s">
        <v>1044</v>
      </c>
      <c r="H2141">
        <f>_xlfn.XLOOKUP(D2141, productos!$A$2:$A$150, productos!$D$2:$D$150, "No Encontrado", 0)</f>
        <v>8.23</v>
      </c>
      <c r="I2141">
        <f t="shared" si="33"/>
        <v>16.46</v>
      </c>
    </row>
    <row r="2142" spans="1:9" x14ac:dyDescent="0.25">
      <c r="A2142">
        <v>2944</v>
      </c>
      <c r="B2142" s="1">
        <v>45549</v>
      </c>
      <c r="C2142">
        <v>22</v>
      </c>
      <c r="D2142">
        <v>21</v>
      </c>
      <c r="E2142">
        <v>3</v>
      </c>
      <c r="F2142">
        <v>5</v>
      </c>
      <c r="G2142" t="s">
        <v>1045</v>
      </c>
      <c r="H2142">
        <f>_xlfn.XLOOKUP(D2142, productos!$A$2:$A$150, productos!$D$2:$D$150, "No Encontrado", 0)</f>
        <v>3.25</v>
      </c>
      <c r="I2142">
        <f t="shared" si="33"/>
        <v>9.75</v>
      </c>
    </row>
    <row r="2143" spans="1:9" x14ac:dyDescent="0.25">
      <c r="A2143">
        <v>2992</v>
      </c>
      <c r="B2143" s="1">
        <v>45549</v>
      </c>
      <c r="C2143">
        <v>311</v>
      </c>
      <c r="D2143">
        <v>30</v>
      </c>
      <c r="E2143">
        <v>2</v>
      </c>
      <c r="F2143">
        <v>4</v>
      </c>
      <c r="G2143" t="s">
        <v>1044</v>
      </c>
      <c r="H2143">
        <f>_xlfn.XLOOKUP(D2143, productos!$A$2:$A$150, productos!$D$2:$D$150, "No Encontrado", 0)</f>
        <v>13.54</v>
      </c>
      <c r="I2143">
        <f t="shared" si="33"/>
        <v>27.08</v>
      </c>
    </row>
    <row r="2144" spans="1:9" x14ac:dyDescent="0.25">
      <c r="A2144">
        <v>522</v>
      </c>
      <c r="B2144" s="1">
        <v>45550</v>
      </c>
      <c r="C2144">
        <v>58</v>
      </c>
      <c r="D2144">
        <v>26</v>
      </c>
      <c r="E2144">
        <v>4</v>
      </c>
      <c r="F2144">
        <v>2</v>
      </c>
      <c r="G2144" t="s">
        <v>1044</v>
      </c>
      <c r="H2144">
        <f>_xlfn.XLOOKUP(D2144, productos!$A$2:$A$150, productos!$D$2:$D$150, "No Encontrado", 0)</f>
        <v>9.5399999999999991</v>
      </c>
      <c r="I2144">
        <f t="shared" si="33"/>
        <v>38.159999999999997</v>
      </c>
    </row>
    <row r="2145" spans="1:9" x14ac:dyDescent="0.25">
      <c r="A2145">
        <v>596</v>
      </c>
      <c r="B2145" s="1">
        <v>45550</v>
      </c>
      <c r="C2145">
        <v>169</v>
      </c>
      <c r="D2145">
        <v>1</v>
      </c>
      <c r="E2145">
        <v>5</v>
      </c>
      <c r="F2145">
        <v>5</v>
      </c>
      <c r="G2145" t="s">
        <v>1044</v>
      </c>
      <c r="H2145">
        <f>_xlfn.XLOOKUP(D2145, productos!$A$2:$A$150, productos!$D$2:$D$150, "No Encontrado", 0)</f>
        <v>12.24</v>
      </c>
      <c r="I2145">
        <f t="shared" si="33"/>
        <v>61.2</v>
      </c>
    </row>
    <row r="2146" spans="1:9" x14ac:dyDescent="0.25">
      <c r="A2146">
        <v>634</v>
      </c>
      <c r="B2146" s="1">
        <v>45550</v>
      </c>
      <c r="C2146">
        <v>14</v>
      </c>
      <c r="D2146">
        <v>8</v>
      </c>
      <c r="E2146">
        <v>5</v>
      </c>
      <c r="F2146">
        <v>1</v>
      </c>
      <c r="G2146" t="s">
        <v>1044</v>
      </c>
      <c r="H2146">
        <f>_xlfn.XLOOKUP(D2146, productos!$A$2:$A$150, productos!$D$2:$D$150, "No Encontrado", 0)</f>
        <v>16.21</v>
      </c>
      <c r="I2146">
        <f t="shared" si="33"/>
        <v>81.050000000000011</v>
      </c>
    </row>
    <row r="2147" spans="1:9" x14ac:dyDescent="0.25">
      <c r="A2147">
        <v>1183</v>
      </c>
      <c r="B2147" s="1">
        <v>45550</v>
      </c>
      <c r="C2147">
        <v>289</v>
      </c>
      <c r="D2147">
        <v>16</v>
      </c>
      <c r="E2147">
        <v>4</v>
      </c>
      <c r="F2147">
        <v>1</v>
      </c>
      <c r="G2147" t="s">
        <v>1044</v>
      </c>
      <c r="H2147">
        <f>_xlfn.XLOOKUP(D2147, productos!$A$2:$A$150, productos!$D$2:$D$150, "No Encontrado", 0)</f>
        <v>15.23</v>
      </c>
      <c r="I2147">
        <f t="shared" si="33"/>
        <v>60.92</v>
      </c>
    </row>
    <row r="2148" spans="1:9" x14ac:dyDescent="0.25">
      <c r="A2148">
        <v>2798</v>
      </c>
      <c r="B2148" s="1">
        <v>45550</v>
      </c>
      <c r="C2148">
        <v>185</v>
      </c>
      <c r="D2148">
        <v>32</v>
      </c>
      <c r="E2148">
        <v>4</v>
      </c>
      <c r="F2148">
        <v>3</v>
      </c>
      <c r="G2148" t="s">
        <v>1044</v>
      </c>
      <c r="H2148">
        <f>_xlfn.XLOOKUP(D2148, productos!$A$2:$A$150, productos!$D$2:$D$150, "No Encontrado", 0)</f>
        <v>6.25</v>
      </c>
      <c r="I2148">
        <f t="shared" si="33"/>
        <v>25</v>
      </c>
    </row>
    <row r="2149" spans="1:9" x14ac:dyDescent="0.25">
      <c r="A2149">
        <v>561</v>
      </c>
      <c r="B2149" s="1">
        <v>45551</v>
      </c>
      <c r="C2149">
        <v>9</v>
      </c>
      <c r="D2149">
        <v>38</v>
      </c>
      <c r="E2149">
        <v>6</v>
      </c>
      <c r="F2149">
        <v>4</v>
      </c>
      <c r="G2149" t="s">
        <v>1044</v>
      </c>
      <c r="H2149">
        <f>_xlfn.XLOOKUP(D2149, productos!$A$2:$A$150, productos!$D$2:$D$150, "No Encontrado", 0)</f>
        <v>6.21</v>
      </c>
      <c r="I2149">
        <f t="shared" si="33"/>
        <v>37.26</v>
      </c>
    </row>
    <row r="2150" spans="1:9" x14ac:dyDescent="0.25">
      <c r="A2150">
        <v>1230</v>
      </c>
      <c r="B2150" s="1">
        <v>45551</v>
      </c>
      <c r="C2150">
        <v>197</v>
      </c>
      <c r="D2150">
        <v>2</v>
      </c>
      <c r="E2150">
        <v>6</v>
      </c>
      <c r="F2150">
        <v>5</v>
      </c>
      <c r="G2150" t="s">
        <v>1046</v>
      </c>
      <c r="H2150">
        <f>_xlfn.XLOOKUP(D2150, productos!$A$2:$A$150, productos!$D$2:$D$150, "No Encontrado", 0)</f>
        <v>5.21</v>
      </c>
      <c r="I2150">
        <f t="shared" si="33"/>
        <v>31.259999999999998</v>
      </c>
    </row>
    <row r="2151" spans="1:9" x14ac:dyDescent="0.25">
      <c r="A2151">
        <v>1484</v>
      </c>
      <c r="B2151" s="1">
        <v>45551</v>
      </c>
      <c r="C2151">
        <v>171</v>
      </c>
      <c r="D2151">
        <v>3</v>
      </c>
      <c r="E2151">
        <v>6</v>
      </c>
      <c r="F2151">
        <v>3</v>
      </c>
      <c r="G2151" t="s">
        <v>1044</v>
      </c>
      <c r="H2151">
        <f>_xlfn.XLOOKUP(D2151, productos!$A$2:$A$150, productos!$D$2:$D$150, "No Encontrado", 0)</f>
        <v>17.23</v>
      </c>
      <c r="I2151">
        <f t="shared" si="33"/>
        <v>103.38</v>
      </c>
    </row>
    <row r="2152" spans="1:9" x14ac:dyDescent="0.25">
      <c r="A2152">
        <v>2286</v>
      </c>
      <c r="B2152" s="1">
        <v>45551</v>
      </c>
      <c r="C2152">
        <v>307</v>
      </c>
      <c r="D2152">
        <v>22</v>
      </c>
      <c r="E2152">
        <v>6</v>
      </c>
      <c r="F2152">
        <v>4</v>
      </c>
      <c r="G2152" t="s">
        <v>1044</v>
      </c>
      <c r="H2152">
        <f>_xlfn.XLOOKUP(D2152, productos!$A$2:$A$150, productos!$D$2:$D$150, "No Encontrado", 0)</f>
        <v>4.21</v>
      </c>
      <c r="I2152">
        <f t="shared" si="33"/>
        <v>25.259999999999998</v>
      </c>
    </row>
    <row r="2153" spans="1:9" x14ac:dyDescent="0.25">
      <c r="A2153">
        <v>2667</v>
      </c>
      <c r="B2153" s="1">
        <v>45551</v>
      </c>
      <c r="C2153">
        <v>315</v>
      </c>
      <c r="D2153">
        <v>26</v>
      </c>
      <c r="E2153">
        <v>2</v>
      </c>
      <c r="F2153">
        <v>5</v>
      </c>
      <c r="G2153" t="s">
        <v>1045</v>
      </c>
      <c r="H2153">
        <f>_xlfn.XLOOKUP(D2153, productos!$A$2:$A$150, productos!$D$2:$D$150, "No Encontrado", 0)</f>
        <v>9.5399999999999991</v>
      </c>
      <c r="I2153">
        <f t="shared" si="33"/>
        <v>19.079999999999998</v>
      </c>
    </row>
    <row r="2154" spans="1:9" x14ac:dyDescent="0.25">
      <c r="A2154">
        <v>2941</v>
      </c>
      <c r="B2154" s="1">
        <v>45551</v>
      </c>
      <c r="C2154">
        <v>85</v>
      </c>
      <c r="D2154">
        <v>38</v>
      </c>
      <c r="E2154">
        <v>5</v>
      </c>
      <c r="F2154">
        <v>3</v>
      </c>
      <c r="G2154" t="s">
        <v>1044</v>
      </c>
      <c r="H2154">
        <f>_xlfn.XLOOKUP(D2154, productos!$A$2:$A$150, productos!$D$2:$D$150, "No Encontrado", 0)</f>
        <v>6.21</v>
      </c>
      <c r="I2154">
        <f t="shared" si="33"/>
        <v>31.05</v>
      </c>
    </row>
    <row r="2155" spans="1:9" x14ac:dyDescent="0.25">
      <c r="A2155">
        <v>499</v>
      </c>
      <c r="B2155" s="1">
        <v>45552</v>
      </c>
      <c r="C2155">
        <v>197</v>
      </c>
      <c r="D2155">
        <v>2</v>
      </c>
      <c r="E2155">
        <v>1</v>
      </c>
      <c r="F2155">
        <v>1</v>
      </c>
      <c r="G2155" t="s">
        <v>1044</v>
      </c>
      <c r="H2155">
        <f>_xlfn.XLOOKUP(D2155, productos!$A$2:$A$150, productos!$D$2:$D$150, "No Encontrado", 0)</f>
        <v>5.21</v>
      </c>
      <c r="I2155">
        <f t="shared" si="33"/>
        <v>5.21</v>
      </c>
    </row>
    <row r="2156" spans="1:9" x14ac:dyDescent="0.25">
      <c r="A2156">
        <v>576</v>
      </c>
      <c r="B2156" s="1">
        <v>45552</v>
      </c>
      <c r="C2156">
        <v>30</v>
      </c>
      <c r="D2156">
        <v>27</v>
      </c>
      <c r="E2156">
        <v>5</v>
      </c>
      <c r="F2156">
        <v>1</v>
      </c>
      <c r="G2156" t="s">
        <v>1044</v>
      </c>
      <c r="H2156">
        <f>_xlfn.XLOOKUP(D2156, productos!$A$2:$A$150, productos!$D$2:$D$150, "No Encontrado", 0)</f>
        <v>6.21</v>
      </c>
      <c r="I2156">
        <f t="shared" si="33"/>
        <v>31.05</v>
      </c>
    </row>
    <row r="2157" spans="1:9" x14ac:dyDescent="0.25">
      <c r="A2157">
        <v>934</v>
      </c>
      <c r="B2157" s="1">
        <v>45552</v>
      </c>
      <c r="C2157">
        <v>213</v>
      </c>
      <c r="D2157">
        <v>26</v>
      </c>
      <c r="E2157">
        <v>5</v>
      </c>
      <c r="F2157">
        <v>4</v>
      </c>
      <c r="G2157" t="s">
        <v>1044</v>
      </c>
      <c r="H2157">
        <f>_xlfn.XLOOKUP(D2157, productos!$A$2:$A$150, productos!$D$2:$D$150, "No Encontrado", 0)</f>
        <v>9.5399999999999991</v>
      </c>
      <c r="I2157">
        <f t="shared" si="33"/>
        <v>47.699999999999996</v>
      </c>
    </row>
    <row r="2158" spans="1:9" x14ac:dyDescent="0.25">
      <c r="A2158">
        <v>1306</v>
      </c>
      <c r="B2158" s="1">
        <v>45552</v>
      </c>
      <c r="C2158">
        <v>168</v>
      </c>
      <c r="D2158">
        <v>23</v>
      </c>
      <c r="E2158">
        <v>2</v>
      </c>
      <c r="F2158">
        <v>5</v>
      </c>
      <c r="G2158" t="s">
        <v>1044</v>
      </c>
      <c r="H2158">
        <f>_xlfn.XLOOKUP(D2158, productos!$A$2:$A$150, productos!$D$2:$D$150, "No Encontrado", 0)</f>
        <v>8.23</v>
      </c>
      <c r="I2158">
        <f t="shared" si="33"/>
        <v>16.46</v>
      </c>
    </row>
    <row r="2159" spans="1:9" x14ac:dyDescent="0.25">
      <c r="A2159">
        <v>1346</v>
      </c>
      <c r="B2159" s="1">
        <v>45552</v>
      </c>
      <c r="C2159">
        <v>278</v>
      </c>
      <c r="D2159">
        <v>3</v>
      </c>
      <c r="E2159">
        <v>5</v>
      </c>
      <c r="F2159">
        <v>1</v>
      </c>
      <c r="G2159" t="s">
        <v>1044</v>
      </c>
      <c r="H2159">
        <f>_xlfn.XLOOKUP(D2159, productos!$A$2:$A$150, productos!$D$2:$D$150, "No Encontrado", 0)</f>
        <v>17.23</v>
      </c>
      <c r="I2159">
        <f t="shared" si="33"/>
        <v>86.15</v>
      </c>
    </row>
    <row r="2160" spans="1:9" x14ac:dyDescent="0.25">
      <c r="A2160">
        <v>2013</v>
      </c>
      <c r="B2160" s="1">
        <v>45552</v>
      </c>
      <c r="C2160">
        <v>84</v>
      </c>
      <c r="D2160">
        <v>2</v>
      </c>
      <c r="E2160">
        <v>3</v>
      </c>
      <c r="F2160">
        <v>3</v>
      </c>
      <c r="G2160" t="s">
        <v>1044</v>
      </c>
      <c r="H2160">
        <f>_xlfn.XLOOKUP(D2160, productos!$A$2:$A$150, productos!$D$2:$D$150, "No Encontrado", 0)</f>
        <v>5.21</v>
      </c>
      <c r="I2160">
        <f t="shared" si="33"/>
        <v>15.629999999999999</v>
      </c>
    </row>
    <row r="2161" spans="1:9" x14ac:dyDescent="0.25">
      <c r="A2161">
        <v>2199</v>
      </c>
      <c r="B2161" s="1">
        <v>45552</v>
      </c>
      <c r="C2161">
        <v>325</v>
      </c>
      <c r="D2161">
        <v>13</v>
      </c>
      <c r="E2161">
        <v>4</v>
      </c>
      <c r="F2161">
        <v>3</v>
      </c>
      <c r="G2161" t="s">
        <v>1044</v>
      </c>
      <c r="H2161">
        <f>_xlfn.XLOOKUP(D2161, productos!$A$2:$A$150, productos!$D$2:$D$150, "No Encontrado", 0)</f>
        <v>12.56</v>
      </c>
      <c r="I2161">
        <f t="shared" si="33"/>
        <v>50.24</v>
      </c>
    </row>
    <row r="2162" spans="1:9" x14ac:dyDescent="0.25">
      <c r="A2162">
        <v>2208</v>
      </c>
      <c r="B2162" s="1">
        <v>45552</v>
      </c>
      <c r="C2162">
        <v>324</v>
      </c>
      <c r="D2162">
        <v>17</v>
      </c>
      <c r="E2162">
        <v>5</v>
      </c>
      <c r="F2162">
        <v>5</v>
      </c>
      <c r="G2162" t="s">
        <v>1044</v>
      </c>
      <c r="H2162">
        <f>_xlfn.XLOOKUP(D2162, productos!$A$2:$A$150, productos!$D$2:$D$150, "No Encontrado", 0)</f>
        <v>6.54</v>
      </c>
      <c r="I2162">
        <f t="shared" si="33"/>
        <v>32.700000000000003</v>
      </c>
    </row>
    <row r="2163" spans="1:9" x14ac:dyDescent="0.25">
      <c r="A2163">
        <v>2223</v>
      </c>
      <c r="B2163" s="1">
        <v>45552</v>
      </c>
      <c r="C2163">
        <v>219</v>
      </c>
      <c r="D2163">
        <v>6</v>
      </c>
      <c r="E2163">
        <v>5</v>
      </c>
      <c r="F2163">
        <v>1</v>
      </c>
      <c r="G2163" t="s">
        <v>1044</v>
      </c>
      <c r="H2163">
        <f>_xlfn.XLOOKUP(D2163, productos!$A$2:$A$150, productos!$D$2:$D$150, "No Encontrado", 0)</f>
        <v>28.56</v>
      </c>
      <c r="I2163">
        <f t="shared" si="33"/>
        <v>142.79999999999998</v>
      </c>
    </row>
    <row r="2164" spans="1:9" x14ac:dyDescent="0.25">
      <c r="A2164">
        <v>2651</v>
      </c>
      <c r="B2164" s="1">
        <v>45552</v>
      </c>
      <c r="C2164">
        <v>272</v>
      </c>
      <c r="D2164">
        <v>21</v>
      </c>
      <c r="E2164">
        <v>4</v>
      </c>
      <c r="F2164">
        <v>5</v>
      </c>
      <c r="G2164" t="s">
        <v>1044</v>
      </c>
      <c r="H2164">
        <f>_xlfn.XLOOKUP(D2164, productos!$A$2:$A$150, productos!$D$2:$D$150, "No Encontrado", 0)</f>
        <v>3.25</v>
      </c>
      <c r="I2164">
        <f t="shared" si="33"/>
        <v>13</v>
      </c>
    </row>
    <row r="2165" spans="1:9" x14ac:dyDescent="0.25">
      <c r="A2165">
        <v>946</v>
      </c>
      <c r="B2165" s="1">
        <v>45553</v>
      </c>
      <c r="C2165">
        <v>313</v>
      </c>
      <c r="D2165">
        <v>34</v>
      </c>
      <c r="E2165">
        <v>4</v>
      </c>
      <c r="F2165">
        <v>4</v>
      </c>
      <c r="G2165" t="s">
        <v>1044</v>
      </c>
      <c r="H2165">
        <f>_xlfn.XLOOKUP(D2165, productos!$A$2:$A$150, productos!$D$2:$D$150, "No Encontrado", 0)</f>
        <v>5.45</v>
      </c>
      <c r="I2165">
        <f t="shared" si="33"/>
        <v>21.8</v>
      </c>
    </row>
    <row r="2166" spans="1:9" x14ac:dyDescent="0.25">
      <c r="A2166">
        <v>1082</v>
      </c>
      <c r="B2166" s="1">
        <v>45553</v>
      </c>
      <c r="C2166">
        <v>282</v>
      </c>
      <c r="D2166">
        <v>33</v>
      </c>
      <c r="E2166">
        <v>6</v>
      </c>
      <c r="F2166">
        <v>4</v>
      </c>
      <c r="G2166" t="s">
        <v>1044</v>
      </c>
      <c r="H2166">
        <f>_xlfn.XLOOKUP(D2166, productos!$A$2:$A$150, productos!$D$2:$D$150, "No Encontrado", 0)</f>
        <v>8.5399999999999991</v>
      </c>
      <c r="I2166">
        <f t="shared" si="33"/>
        <v>51.239999999999995</v>
      </c>
    </row>
    <row r="2167" spans="1:9" x14ac:dyDescent="0.25">
      <c r="A2167">
        <v>1382</v>
      </c>
      <c r="B2167" s="1">
        <v>45553</v>
      </c>
      <c r="C2167">
        <v>318</v>
      </c>
      <c r="D2167">
        <v>23</v>
      </c>
      <c r="E2167">
        <v>2</v>
      </c>
      <c r="F2167">
        <v>1</v>
      </c>
      <c r="G2167" t="s">
        <v>1045</v>
      </c>
      <c r="H2167">
        <f>_xlfn.XLOOKUP(D2167, productos!$A$2:$A$150, productos!$D$2:$D$150, "No Encontrado", 0)</f>
        <v>8.23</v>
      </c>
      <c r="I2167">
        <f t="shared" si="33"/>
        <v>16.46</v>
      </c>
    </row>
    <row r="2168" spans="1:9" x14ac:dyDescent="0.25">
      <c r="A2168">
        <v>1582</v>
      </c>
      <c r="B2168" s="1">
        <v>45553</v>
      </c>
      <c r="C2168">
        <v>245</v>
      </c>
      <c r="D2168">
        <v>16</v>
      </c>
      <c r="E2168">
        <v>1</v>
      </c>
      <c r="F2168">
        <v>2</v>
      </c>
      <c r="G2168" t="s">
        <v>1044</v>
      </c>
      <c r="H2168">
        <f>_xlfn.XLOOKUP(D2168, productos!$A$2:$A$150, productos!$D$2:$D$150, "No Encontrado", 0)</f>
        <v>15.23</v>
      </c>
      <c r="I2168">
        <f t="shared" si="33"/>
        <v>15.23</v>
      </c>
    </row>
    <row r="2169" spans="1:9" x14ac:dyDescent="0.25">
      <c r="A2169">
        <v>1614</v>
      </c>
      <c r="B2169" s="1">
        <v>45553</v>
      </c>
      <c r="C2169">
        <v>60</v>
      </c>
      <c r="D2169">
        <v>37</v>
      </c>
      <c r="E2169">
        <v>1</v>
      </c>
      <c r="F2169">
        <v>1</v>
      </c>
      <c r="G2169" t="s">
        <v>1044</v>
      </c>
      <c r="H2169">
        <f>_xlfn.XLOOKUP(D2169, productos!$A$2:$A$150, productos!$D$2:$D$150, "No Encontrado", 0)</f>
        <v>3.65</v>
      </c>
      <c r="I2169">
        <f t="shared" si="33"/>
        <v>3.65</v>
      </c>
    </row>
    <row r="2170" spans="1:9" x14ac:dyDescent="0.25">
      <c r="A2170">
        <v>1801</v>
      </c>
      <c r="B2170" s="1">
        <v>45553</v>
      </c>
      <c r="C2170">
        <v>46</v>
      </c>
      <c r="D2170">
        <v>33</v>
      </c>
      <c r="E2170">
        <v>1</v>
      </c>
      <c r="F2170">
        <v>5</v>
      </c>
      <c r="G2170" t="s">
        <v>1045</v>
      </c>
      <c r="H2170">
        <f>_xlfn.XLOOKUP(D2170, productos!$A$2:$A$150, productos!$D$2:$D$150, "No Encontrado", 0)</f>
        <v>8.5399999999999991</v>
      </c>
      <c r="I2170">
        <f t="shared" si="33"/>
        <v>8.5399999999999991</v>
      </c>
    </row>
    <row r="2171" spans="1:9" x14ac:dyDescent="0.25">
      <c r="A2171">
        <v>1810</v>
      </c>
      <c r="B2171" s="1">
        <v>45553</v>
      </c>
      <c r="C2171">
        <v>72</v>
      </c>
      <c r="D2171">
        <v>35</v>
      </c>
      <c r="E2171">
        <v>4</v>
      </c>
      <c r="F2171">
        <v>5</v>
      </c>
      <c r="G2171" t="s">
        <v>1044</v>
      </c>
      <c r="H2171">
        <f>_xlfn.XLOOKUP(D2171, productos!$A$2:$A$150, productos!$D$2:$D$150, "No Encontrado", 0)</f>
        <v>4.25</v>
      </c>
      <c r="I2171">
        <f t="shared" si="33"/>
        <v>17</v>
      </c>
    </row>
    <row r="2172" spans="1:9" x14ac:dyDescent="0.25">
      <c r="A2172">
        <v>2095</v>
      </c>
      <c r="B2172" s="1">
        <v>45553</v>
      </c>
      <c r="C2172">
        <v>36</v>
      </c>
      <c r="D2172">
        <v>36</v>
      </c>
      <c r="E2172">
        <v>6</v>
      </c>
      <c r="F2172">
        <v>2</v>
      </c>
      <c r="G2172" t="s">
        <v>1044</v>
      </c>
      <c r="H2172">
        <f>_xlfn.XLOOKUP(D2172, productos!$A$2:$A$150, productos!$D$2:$D$150, "No Encontrado", 0)</f>
        <v>3.25</v>
      </c>
      <c r="I2172">
        <f t="shared" si="33"/>
        <v>19.5</v>
      </c>
    </row>
    <row r="2173" spans="1:9" x14ac:dyDescent="0.25">
      <c r="A2173">
        <v>2793</v>
      </c>
      <c r="B2173" s="1">
        <v>45553</v>
      </c>
      <c r="C2173">
        <v>205</v>
      </c>
      <c r="D2173">
        <v>16</v>
      </c>
      <c r="E2173">
        <v>2</v>
      </c>
      <c r="F2173">
        <v>5</v>
      </c>
      <c r="G2173" t="s">
        <v>1045</v>
      </c>
      <c r="H2173">
        <f>_xlfn.XLOOKUP(D2173, productos!$A$2:$A$150, productos!$D$2:$D$150, "No Encontrado", 0)</f>
        <v>15.23</v>
      </c>
      <c r="I2173">
        <f t="shared" si="33"/>
        <v>30.46</v>
      </c>
    </row>
    <row r="2174" spans="1:9" x14ac:dyDescent="0.25">
      <c r="A2174">
        <v>373</v>
      </c>
      <c r="B2174" s="1">
        <v>45554</v>
      </c>
      <c r="C2174">
        <v>41</v>
      </c>
      <c r="D2174">
        <v>26</v>
      </c>
      <c r="E2174">
        <v>3</v>
      </c>
      <c r="F2174">
        <v>4</v>
      </c>
      <c r="G2174" t="s">
        <v>1044</v>
      </c>
      <c r="H2174">
        <f>_xlfn.XLOOKUP(D2174, productos!$A$2:$A$150, productos!$D$2:$D$150, "No Encontrado", 0)</f>
        <v>9.5399999999999991</v>
      </c>
      <c r="I2174">
        <f t="shared" si="33"/>
        <v>28.619999999999997</v>
      </c>
    </row>
    <row r="2175" spans="1:9" x14ac:dyDescent="0.25">
      <c r="A2175">
        <v>892</v>
      </c>
      <c r="B2175" s="1">
        <v>45554</v>
      </c>
      <c r="C2175">
        <v>214</v>
      </c>
      <c r="D2175">
        <v>37</v>
      </c>
      <c r="E2175">
        <v>2</v>
      </c>
      <c r="F2175">
        <v>5</v>
      </c>
      <c r="G2175" t="s">
        <v>1044</v>
      </c>
      <c r="H2175">
        <f>_xlfn.XLOOKUP(D2175, productos!$A$2:$A$150, productos!$D$2:$D$150, "No Encontrado", 0)</f>
        <v>3.65</v>
      </c>
      <c r="I2175">
        <f t="shared" si="33"/>
        <v>7.3</v>
      </c>
    </row>
    <row r="2176" spans="1:9" x14ac:dyDescent="0.25">
      <c r="A2176">
        <v>1089</v>
      </c>
      <c r="B2176" s="1">
        <v>45554</v>
      </c>
      <c r="C2176">
        <v>73</v>
      </c>
      <c r="D2176">
        <v>8</v>
      </c>
      <c r="E2176">
        <v>4</v>
      </c>
      <c r="F2176">
        <v>4</v>
      </c>
      <c r="G2176" t="s">
        <v>1044</v>
      </c>
      <c r="H2176">
        <f>_xlfn.XLOOKUP(D2176, productos!$A$2:$A$150, productos!$D$2:$D$150, "No Encontrado", 0)</f>
        <v>16.21</v>
      </c>
      <c r="I2176">
        <f t="shared" si="33"/>
        <v>64.84</v>
      </c>
    </row>
    <row r="2177" spans="1:9" x14ac:dyDescent="0.25">
      <c r="A2177">
        <v>1289</v>
      </c>
      <c r="B2177" s="1">
        <v>45554</v>
      </c>
      <c r="C2177">
        <v>50</v>
      </c>
      <c r="D2177">
        <v>28</v>
      </c>
      <c r="E2177">
        <v>4</v>
      </c>
      <c r="F2177">
        <v>4</v>
      </c>
      <c r="G2177" t="s">
        <v>1044</v>
      </c>
      <c r="H2177">
        <f>_xlfn.XLOOKUP(D2177, productos!$A$2:$A$150, productos!$D$2:$D$150, "No Encontrado", 0)</f>
        <v>9.4499999999999993</v>
      </c>
      <c r="I2177">
        <f t="shared" si="33"/>
        <v>37.799999999999997</v>
      </c>
    </row>
    <row r="2178" spans="1:9" x14ac:dyDescent="0.25">
      <c r="A2178">
        <v>1366</v>
      </c>
      <c r="B2178" s="1">
        <v>45554</v>
      </c>
      <c r="C2178">
        <v>185</v>
      </c>
      <c r="D2178">
        <v>35</v>
      </c>
      <c r="E2178">
        <v>1</v>
      </c>
      <c r="F2178">
        <v>4</v>
      </c>
      <c r="G2178" t="s">
        <v>1044</v>
      </c>
      <c r="H2178">
        <f>_xlfn.XLOOKUP(D2178, productos!$A$2:$A$150, productos!$D$2:$D$150, "No Encontrado", 0)</f>
        <v>4.25</v>
      </c>
      <c r="I2178">
        <f t="shared" si="33"/>
        <v>4.25</v>
      </c>
    </row>
    <row r="2179" spans="1:9" x14ac:dyDescent="0.25">
      <c r="A2179">
        <v>1599</v>
      </c>
      <c r="B2179" s="1">
        <v>45554</v>
      </c>
      <c r="C2179">
        <v>144</v>
      </c>
      <c r="D2179">
        <v>5</v>
      </c>
      <c r="E2179">
        <v>3</v>
      </c>
      <c r="F2179">
        <v>3</v>
      </c>
      <c r="G2179" t="s">
        <v>1044</v>
      </c>
      <c r="H2179">
        <f>_xlfn.XLOOKUP(D2179, productos!$A$2:$A$150, productos!$D$2:$D$150, "No Encontrado", 0)</f>
        <v>5.65</v>
      </c>
      <c r="I2179">
        <f t="shared" ref="I2179:I2242" si="34">E2179*H2179</f>
        <v>16.950000000000003</v>
      </c>
    </row>
    <row r="2180" spans="1:9" x14ac:dyDescent="0.25">
      <c r="A2180">
        <v>1963</v>
      </c>
      <c r="B2180" s="1">
        <v>45554</v>
      </c>
      <c r="C2180">
        <v>99</v>
      </c>
      <c r="D2180">
        <v>12</v>
      </c>
      <c r="E2180">
        <v>1</v>
      </c>
      <c r="F2180">
        <v>5</v>
      </c>
      <c r="G2180" t="s">
        <v>1044</v>
      </c>
      <c r="H2180">
        <f>_xlfn.XLOOKUP(D2180, productos!$A$2:$A$150, productos!$D$2:$D$150, "No Encontrado", 0)</f>
        <v>8.1199999999999992</v>
      </c>
      <c r="I2180">
        <f t="shared" si="34"/>
        <v>8.1199999999999992</v>
      </c>
    </row>
    <row r="2181" spans="1:9" x14ac:dyDescent="0.25">
      <c r="A2181">
        <v>2988</v>
      </c>
      <c r="B2181" s="1">
        <v>45554</v>
      </c>
      <c r="C2181">
        <v>152</v>
      </c>
      <c r="D2181">
        <v>30</v>
      </c>
      <c r="E2181">
        <v>2</v>
      </c>
      <c r="F2181">
        <v>1</v>
      </c>
      <c r="G2181" t="s">
        <v>1044</v>
      </c>
      <c r="H2181">
        <f>_xlfn.XLOOKUP(D2181, productos!$A$2:$A$150, productos!$D$2:$D$150, "No Encontrado", 0)</f>
        <v>13.54</v>
      </c>
      <c r="I2181">
        <f t="shared" si="34"/>
        <v>27.08</v>
      </c>
    </row>
    <row r="2182" spans="1:9" x14ac:dyDescent="0.25">
      <c r="A2182">
        <v>832</v>
      </c>
      <c r="B2182" s="1">
        <v>45555</v>
      </c>
      <c r="C2182">
        <v>100</v>
      </c>
      <c r="D2182">
        <v>21</v>
      </c>
      <c r="E2182">
        <v>6</v>
      </c>
      <c r="F2182">
        <v>3</v>
      </c>
      <c r="G2182" t="s">
        <v>1044</v>
      </c>
      <c r="H2182">
        <f>_xlfn.XLOOKUP(D2182, productos!$A$2:$A$150, productos!$D$2:$D$150, "No Encontrado", 0)</f>
        <v>3.25</v>
      </c>
      <c r="I2182">
        <f t="shared" si="34"/>
        <v>19.5</v>
      </c>
    </row>
    <row r="2183" spans="1:9" x14ac:dyDescent="0.25">
      <c r="A2183">
        <v>899</v>
      </c>
      <c r="B2183" s="1">
        <v>45555</v>
      </c>
      <c r="C2183">
        <v>32</v>
      </c>
      <c r="D2183">
        <v>27</v>
      </c>
      <c r="E2183">
        <v>6</v>
      </c>
      <c r="F2183">
        <v>2</v>
      </c>
      <c r="G2183" t="s">
        <v>1044</v>
      </c>
      <c r="H2183">
        <f>_xlfn.XLOOKUP(D2183, productos!$A$2:$A$150, productos!$D$2:$D$150, "No Encontrado", 0)</f>
        <v>6.21</v>
      </c>
      <c r="I2183">
        <f t="shared" si="34"/>
        <v>37.26</v>
      </c>
    </row>
    <row r="2184" spans="1:9" x14ac:dyDescent="0.25">
      <c r="A2184">
        <v>1477</v>
      </c>
      <c r="B2184" s="1">
        <v>45555</v>
      </c>
      <c r="C2184">
        <v>170</v>
      </c>
      <c r="D2184">
        <v>7</v>
      </c>
      <c r="E2184">
        <v>4</v>
      </c>
      <c r="F2184">
        <v>2</v>
      </c>
      <c r="G2184" t="s">
        <v>1044</v>
      </c>
      <c r="H2184">
        <f>_xlfn.XLOOKUP(D2184, productos!$A$2:$A$150, productos!$D$2:$D$150, "No Encontrado", 0)</f>
        <v>11.25</v>
      </c>
      <c r="I2184">
        <f t="shared" si="34"/>
        <v>45</v>
      </c>
    </row>
    <row r="2185" spans="1:9" x14ac:dyDescent="0.25">
      <c r="A2185">
        <v>1495</v>
      </c>
      <c r="B2185" s="1">
        <v>45555</v>
      </c>
      <c r="C2185">
        <v>142</v>
      </c>
      <c r="D2185">
        <v>18</v>
      </c>
      <c r="E2185">
        <v>2</v>
      </c>
      <c r="F2185">
        <v>3</v>
      </c>
      <c r="G2185" t="s">
        <v>1044</v>
      </c>
      <c r="H2185">
        <f>_xlfn.XLOOKUP(D2185, productos!$A$2:$A$150, productos!$D$2:$D$150, "No Encontrado", 0)</f>
        <v>7.25</v>
      </c>
      <c r="I2185">
        <f t="shared" si="34"/>
        <v>14.5</v>
      </c>
    </row>
    <row r="2186" spans="1:9" x14ac:dyDescent="0.25">
      <c r="A2186">
        <v>1929</v>
      </c>
      <c r="B2186" s="1">
        <v>45555</v>
      </c>
      <c r="C2186">
        <v>252</v>
      </c>
      <c r="D2186">
        <v>31</v>
      </c>
      <c r="E2186">
        <v>5</v>
      </c>
      <c r="F2186">
        <v>3</v>
      </c>
      <c r="G2186" t="s">
        <v>1044</v>
      </c>
      <c r="H2186">
        <f>_xlfn.XLOOKUP(D2186, productos!$A$2:$A$150, productos!$D$2:$D$150, "No Encontrado", 0)</f>
        <v>5.24</v>
      </c>
      <c r="I2186">
        <f t="shared" si="34"/>
        <v>26.200000000000003</v>
      </c>
    </row>
    <row r="2187" spans="1:9" x14ac:dyDescent="0.25">
      <c r="A2187">
        <v>2508</v>
      </c>
      <c r="B2187" s="1">
        <v>45555</v>
      </c>
      <c r="C2187">
        <v>225</v>
      </c>
      <c r="D2187">
        <v>31</v>
      </c>
      <c r="E2187">
        <v>2</v>
      </c>
      <c r="F2187">
        <v>5</v>
      </c>
      <c r="G2187" t="s">
        <v>1044</v>
      </c>
      <c r="H2187">
        <f>_xlfn.XLOOKUP(D2187, productos!$A$2:$A$150, productos!$D$2:$D$150, "No Encontrado", 0)</f>
        <v>5.24</v>
      </c>
      <c r="I2187">
        <f t="shared" si="34"/>
        <v>10.48</v>
      </c>
    </row>
    <row r="2188" spans="1:9" x14ac:dyDescent="0.25">
      <c r="A2188">
        <v>2895</v>
      </c>
      <c r="B2188" s="1">
        <v>45555</v>
      </c>
      <c r="C2188">
        <v>41</v>
      </c>
      <c r="D2188">
        <v>13</v>
      </c>
      <c r="E2188">
        <v>1</v>
      </c>
      <c r="F2188">
        <v>5</v>
      </c>
      <c r="G2188" t="s">
        <v>1044</v>
      </c>
      <c r="H2188">
        <f>_xlfn.XLOOKUP(D2188, productos!$A$2:$A$150, productos!$D$2:$D$150, "No Encontrado", 0)</f>
        <v>12.56</v>
      </c>
      <c r="I2188">
        <f t="shared" si="34"/>
        <v>12.56</v>
      </c>
    </row>
    <row r="2189" spans="1:9" x14ac:dyDescent="0.25">
      <c r="A2189">
        <v>552</v>
      </c>
      <c r="B2189" s="1">
        <v>45556</v>
      </c>
      <c r="C2189">
        <v>286</v>
      </c>
      <c r="D2189">
        <v>17</v>
      </c>
      <c r="E2189">
        <v>1</v>
      </c>
      <c r="F2189">
        <v>4</v>
      </c>
      <c r="G2189" t="s">
        <v>1044</v>
      </c>
      <c r="H2189">
        <f>_xlfn.XLOOKUP(D2189, productos!$A$2:$A$150, productos!$D$2:$D$150, "No Encontrado", 0)</f>
        <v>6.54</v>
      </c>
      <c r="I2189">
        <f t="shared" si="34"/>
        <v>6.54</v>
      </c>
    </row>
    <row r="2190" spans="1:9" x14ac:dyDescent="0.25">
      <c r="A2190">
        <v>720</v>
      </c>
      <c r="B2190" s="1">
        <v>45556</v>
      </c>
      <c r="C2190">
        <v>180</v>
      </c>
      <c r="D2190">
        <v>10</v>
      </c>
      <c r="E2190">
        <v>3</v>
      </c>
      <c r="F2190">
        <v>3</v>
      </c>
      <c r="G2190" t="s">
        <v>1044</v>
      </c>
      <c r="H2190">
        <f>_xlfn.XLOOKUP(D2190, productos!$A$2:$A$150, productos!$D$2:$D$150, "No Encontrado", 0)</f>
        <v>14.25</v>
      </c>
      <c r="I2190">
        <f t="shared" si="34"/>
        <v>42.75</v>
      </c>
    </row>
    <row r="2191" spans="1:9" x14ac:dyDescent="0.25">
      <c r="A2191">
        <v>1197</v>
      </c>
      <c r="B2191" s="1">
        <v>45556</v>
      </c>
      <c r="C2191">
        <v>323</v>
      </c>
      <c r="D2191">
        <v>2</v>
      </c>
      <c r="E2191">
        <v>3</v>
      </c>
      <c r="F2191">
        <v>4</v>
      </c>
      <c r="G2191" t="s">
        <v>1044</v>
      </c>
      <c r="H2191">
        <f>_xlfn.XLOOKUP(D2191, productos!$A$2:$A$150, productos!$D$2:$D$150, "No Encontrado", 0)</f>
        <v>5.21</v>
      </c>
      <c r="I2191">
        <f t="shared" si="34"/>
        <v>15.629999999999999</v>
      </c>
    </row>
    <row r="2192" spans="1:9" x14ac:dyDescent="0.25">
      <c r="A2192">
        <v>1259</v>
      </c>
      <c r="B2192" s="1">
        <v>45556</v>
      </c>
      <c r="C2192">
        <v>307</v>
      </c>
      <c r="D2192">
        <v>2</v>
      </c>
      <c r="E2192">
        <v>6</v>
      </c>
      <c r="F2192">
        <v>2</v>
      </c>
      <c r="G2192" t="s">
        <v>1044</v>
      </c>
      <c r="H2192">
        <f>_xlfn.XLOOKUP(D2192, productos!$A$2:$A$150, productos!$D$2:$D$150, "No Encontrado", 0)</f>
        <v>5.21</v>
      </c>
      <c r="I2192">
        <f t="shared" si="34"/>
        <v>31.259999999999998</v>
      </c>
    </row>
    <row r="2193" spans="1:9" x14ac:dyDescent="0.25">
      <c r="A2193">
        <v>1265</v>
      </c>
      <c r="B2193" s="1">
        <v>45556</v>
      </c>
      <c r="C2193">
        <v>94</v>
      </c>
      <c r="D2193">
        <v>6</v>
      </c>
      <c r="E2193">
        <v>2</v>
      </c>
      <c r="F2193">
        <v>3</v>
      </c>
      <c r="G2193" t="s">
        <v>1044</v>
      </c>
      <c r="H2193">
        <f>_xlfn.XLOOKUP(D2193, productos!$A$2:$A$150, productos!$D$2:$D$150, "No Encontrado", 0)</f>
        <v>28.56</v>
      </c>
      <c r="I2193">
        <f t="shared" si="34"/>
        <v>57.12</v>
      </c>
    </row>
    <row r="2194" spans="1:9" x14ac:dyDescent="0.25">
      <c r="A2194">
        <v>1302</v>
      </c>
      <c r="B2194" s="1">
        <v>45556</v>
      </c>
      <c r="C2194">
        <v>241</v>
      </c>
      <c r="D2194">
        <v>34</v>
      </c>
      <c r="E2194">
        <v>3</v>
      </c>
      <c r="F2194">
        <v>1</v>
      </c>
      <c r="G2194" t="s">
        <v>1044</v>
      </c>
      <c r="H2194">
        <f>_xlfn.XLOOKUP(D2194, productos!$A$2:$A$150, productos!$D$2:$D$150, "No Encontrado", 0)</f>
        <v>5.45</v>
      </c>
      <c r="I2194">
        <f t="shared" si="34"/>
        <v>16.350000000000001</v>
      </c>
    </row>
    <row r="2195" spans="1:9" x14ac:dyDescent="0.25">
      <c r="A2195">
        <v>1712</v>
      </c>
      <c r="B2195" s="1">
        <v>45556</v>
      </c>
      <c r="C2195">
        <v>92</v>
      </c>
      <c r="D2195">
        <v>11</v>
      </c>
      <c r="E2195">
        <v>6</v>
      </c>
      <c r="F2195">
        <v>1</v>
      </c>
      <c r="G2195" t="s">
        <v>1044</v>
      </c>
      <c r="H2195">
        <f>_xlfn.XLOOKUP(D2195, productos!$A$2:$A$150, productos!$D$2:$D$150, "No Encontrado", 0)</f>
        <v>11.23</v>
      </c>
      <c r="I2195">
        <f t="shared" si="34"/>
        <v>67.38</v>
      </c>
    </row>
    <row r="2196" spans="1:9" x14ac:dyDescent="0.25">
      <c r="A2196">
        <v>1909</v>
      </c>
      <c r="B2196" s="1">
        <v>45556</v>
      </c>
      <c r="C2196">
        <v>272</v>
      </c>
      <c r="D2196">
        <v>17</v>
      </c>
      <c r="E2196">
        <v>6</v>
      </c>
      <c r="F2196">
        <v>5</v>
      </c>
      <c r="G2196" t="s">
        <v>1045</v>
      </c>
      <c r="H2196">
        <f>_xlfn.XLOOKUP(D2196, productos!$A$2:$A$150, productos!$D$2:$D$150, "No Encontrado", 0)</f>
        <v>6.54</v>
      </c>
      <c r="I2196">
        <f t="shared" si="34"/>
        <v>39.24</v>
      </c>
    </row>
    <row r="2197" spans="1:9" x14ac:dyDescent="0.25">
      <c r="A2197">
        <v>2069</v>
      </c>
      <c r="B2197" s="1">
        <v>45556</v>
      </c>
      <c r="C2197">
        <v>243</v>
      </c>
      <c r="D2197">
        <v>37</v>
      </c>
      <c r="E2197">
        <v>5</v>
      </c>
      <c r="F2197">
        <v>4</v>
      </c>
      <c r="G2197" t="s">
        <v>1044</v>
      </c>
      <c r="H2197">
        <f>_xlfn.XLOOKUP(D2197, productos!$A$2:$A$150, productos!$D$2:$D$150, "No Encontrado", 0)</f>
        <v>3.65</v>
      </c>
      <c r="I2197">
        <f t="shared" si="34"/>
        <v>18.25</v>
      </c>
    </row>
    <row r="2198" spans="1:9" x14ac:dyDescent="0.25">
      <c r="A2198">
        <v>2406</v>
      </c>
      <c r="B2198" s="1">
        <v>45556</v>
      </c>
      <c r="C2198">
        <v>152</v>
      </c>
      <c r="D2198">
        <v>6</v>
      </c>
      <c r="E2198">
        <v>1</v>
      </c>
      <c r="F2198">
        <v>4</v>
      </c>
      <c r="G2198" t="s">
        <v>1044</v>
      </c>
      <c r="H2198">
        <f>_xlfn.XLOOKUP(D2198, productos!$A$2:$A$150, productos!$D$2:$D$150, "No Encontrado", 0)</f>
        <v>28.56</v>
      </c>
      <c r="I2198">
        <f t="shared" si="34"/>
        <v>28.56</v>
      </c>
    </row>
    <row r="2199" spans="1:9" x14ac:dyDescent="0.25">
      <c r="A2199">
        <v>2647</v>
      </c>
      <c r="B2199" s="1">
        <v>45556</v>
      </c>
      <c r="C2199">
        <v>83</v>
      </c>
      <c r="D2199">
        <v>23</v>
      </c>
      <c r="E2199">
        <v>6</v>
      </c>
      <c r="F2199">
        <v>5</v>
      </c>
      <c r="G2199" t="s">
        <v>1044</v>
      </c>
      <c r="H2199">
        <f>_xlfn.XLOOKUP(D2199, productos!$A$2:$A$150, productos!$D$2:$D$150, "No Encontrado", 0)</f>
        <v>8.23</v>
      </c>
      <c r="I2199">
        <f t="shared" si="34"/>
        <v>49.38</v>
      </c>
    </row>
    <row r="2200" spans="1:9" x14ac:dyDescent="0.25">
      <c r="A2200">
        <v>2673</v>
      </c>
      <c r="B2200" s="1">
        <v>45556</v>
      </c>
      <c r="C2200">
        <v>44</v>
      </c>
      <c r="D2200">
        <v>33</v>
      </c>
      <c r="E2200">
        <v>2</v>
      </c>
      <c r="F2200">
        <v>2</v>
      </c>
      <c r="G2200" t="s">
        <v>1044</v>
      </c>
      <c r="H2200">
        <f>_xlfn.XLOOKUP(D2200, productos!$A$2:$A$150, productos!$D$2:$D$150, "No Encontrado", 0)</f>
        <v>8.5399999999999991</v>
      </c>
      <c r="I2200">
        <f t="shared" si="34"/>
        <v>17.079999999999998</v>
      </c>
    </row>
    <row r="2201" spans="1:9" x14ac:dyDescent="0.25">
      <c r="A2201">
        <v>2738</v>
      </c>
      <c r="B2201" s="1">
        <v>45556</v>
      </c>
      <c r="C2201">
        <v>70</v>
      </c>
      <c r="D2201">
        <v>37</v>
      </c>
      <c r="E2201">
        <v>3</v>
      </c>
      <c r="F2201">
        <v>3</v>
      </c>
      <c r="G2201" t="s">
        <v>1044</v>
      </c>
      <c r="H2201">
        <f>_xlfn.XLOOKUP(D2201, productos!$A$2:$A$150, productos!$D$2:$D$150, "No Encontrado", 0)</f>
        <v>3.65</v>
      </c>
      <c r="I2201">
        <f t="shared" si="34"/>
        <v>10.95</v>
      </c>
    </row>
    <row r="2202" spans="1:9" x14ac:dyDescent="0.25">
      <c r="A2202">
        <v>2972</v>
      </c>
      <c r="B2202" s="1">
        <v>45556</v>
      </c>
      <c r="C2202">
        <v>74</v>
      </c>
      <c r="D2202">
        <v>32</v>
      </c>
      <c r="E2202">
        <v>3</v>
      </c>
      <c r="F2202">
        <v>1</v>
      </c>
      <c r="G2202" t="s">
        <v>1044</v>
      </c>
      <c r="H2202">
        <f>_xlfn.XLOOKUP(D2202, productos!$A$2:$A$150, productos!$D$2:$D$150, "No Encontrado", 0)</f>
        <v>6.25</v>
      </c>
      <c r="I2202">
        <f t="shared" si="34"/>
        <v>18.75</v>
      </c>
    </row>
    <row r="2203" spans="1:9" x14ac:dyDescent="0.25">
      <c r="A2203">
        <v>654</v>
      </c>
      <c r="B2203" s="1">
        <v>45557</v>
      </c>
      <c r="C2203">
        <v>174</v>
      </c>
      <c r="D2203">
        <v>30</v>
      </c>
      <c r="E2203">
        <v>6</v>
      </c>
      <c r="F2203">
        <v>1</v>
      </c>
      <c r="G2203" t="s">
        <v>1044</v>
      </c>
      <c r="H2203">
        <f>_xlfn.XLOOKUP(D2203, productos!$A$2:$A$150, productos!$D$2:$D$150, "No Encontrado", 0)</f>
        <v>13.54</v>
      </c>
      <c r="I2203">
        <f t="shared" si="34"/>
        <v>81.239999999999995</v>
      </c>
    </row>
    <row r="2204" spans="1:9" x14ac:dyDescent="0.25">
      <c r="A2204">
        <v>855</v>
      </c>
      <c r="B2204" s="1">
        <v>45557</v>
      </c>
      <c r="C2204">
        <v>35</v>
      </c>
      <c r="D2204">
        <v>8</v>
      </c>
      <c r="E2204">
        <v>2</v>
      </c>
      <c r="F2204">
        <v>3</v>
      </c>
      <c r="G2204" t="s">
        <v>1044</v>
      </c>
      <c r="H2204">
        <f>_xlfn.XLOOKUP(D2204, productos!$A$2:$A$150, productos!$D$2:$D$150, "No Encontrado", 0)</f>
        <v>16.21</v>
      </c>
      <c r="I2204">
        <f t="shared" si="34"/>
        <v>32.42</v>
      </c>
    </row>
    <row r="2205" spans="1:9" x14ac:dyDescent="0.25">
      <c r="A2205">
        <v>1144</v>
      </c>
      <c r="B2205" s="1">
        <v>45557</v>
      </c>
      <c r="C2205">
        <v>106</v>
      </c>
      <c r="D2205">
        <v>21</v>
      </c>
      <c r="E2205">
        <v>1</v>
      </c>
      <c r="F2205">
        <v>4</v>
      </c>
      <c r="G2205" t="s">
        <v>1044</v>
      </c>
      <c r="H2205">
        <f>_xlfn.XLOOKUP(D2205, productos!$A$2:$A$150, productos!$D$2:$D$150, "No Encontrado", 0)</f>
        <v>3.25</v>
      </c>
      <c r="I2205">
        <f t="shared" si="34"/>
        <v>3.25</v>
      </c>
    </row>
    <row r="2206" spans="1:9" x14ac:dyDescent="0.25">
      <c r="A2206">
        <v>1172</v>
      </c>
      <c r="B2206" s="1">
        <v>45557</v>
      </c>
      <c r="C2206">
        <v>164</v>
      </c>
      <c r="D2206">
        <v>13</v>
      </c>
      <c r="E2206">
        <v>1</v>
      </c>
      <c r="F2206">
        <v>5</v>
      </c>
      <c r="G2206" t="s">
        <v>1044</v>
      </c>
      <c r="H2206">
        <f>_xlfn.XLOOKUP(D2206, productos!$A$2:$A$150, productos!$D$2:$D$150, "No Encontrado", 0)</f>
        <v>12.56</v>
      </c>
      <c r="I2206">
        <f t="shared" si="34"/>
        <v>12.56</v>
      </c>
    </row>
    <row r="2207" spans="1:9" x14ac:dyDescent="0.25">
      <c r="A2207">
        <v>1373</v>
      </c>
      <c r="B2207" s="1">
        <v>45557</v>
      </c>
      <c r="C2207">
        <v>192</v>
      </c>
      <c r="D2207">
        <v>11</v>
      </c>
      <c r="E2207">
        <v>1</v>
      </c>
      <c r="F2207">
        <v>5</v>
      </c>
      <c r="G2207" t="s">
        <v>1044</v>
      </c>
      <c r="H2207">
        <f>_xlfn.XLOOKUP(D2207, productos!$A$2:$A$150, productos!$D$2:$D$150, "No Encontrado", 0)</f>
        <v>11.23</v>
      </c>
      <c r="I2207">
        <f t="shared" si="34"/>
        <v>11.23</v>
      </c>
    </row>
    <row r="2208" spans="1:9" x14ac:dyDescent="0.25">
      <c r="A2208">
        <v>2365</v>
      </c>
      <c r="B2208" s="1">
        <v>45557</v>
      </c>
      <c r="C2208">
        <v>95</v>
      </c>
      <c r="D2208">
        <v>37</v>
      </c>
      <c r="E2208">
        <v>3</v>
      </c>
      <c r="F2208">
        <v>4</v>
      </c>
      <c r="G2208" t="s">
        <v>1044</v>
      </c>
      <c r="H2208">
        <f>_xlfn.XLOOKUP(D2208, productos!$A$2:$A$150, productos!$D$2:$D$150, "No Encontrado", 0)</f>
        <v>3.65</v>
      </c>
      <c r="I2208">
        <f t="shared" si="34"/>
        <v>10.95</v>
      </c>
    </row>
    <row r="2209" spans="1:9" x14ac:dyDescent="0.25">
      <c r="A2209">
        <v>2457</v>
      </c>
      <c r="B2209" s="1">
        <v>45557</v>
      </c>
      <c r="C2209">
        <v>234</v>
      </c>
      <c r="D2209">
        <v>3</v>
      </c>
      <c r="E2209">
        <v>3</v>
      </c>
      <c r="F2209">
        <v>4</v>
      </c>
      <c r="G2209" t="s">
        <v>1044</v>
      </c>
      <c r="H2209">
        <f>_xlfn.XLOOKUP(D2209, productos!$A$2:$A$150, productos!$D$2:$D$150, "No Encontrado", 0)</f>
        <v>17.23</v>
      </c>
      <c r="I2209">
        <f t="shared" si="34"/>
        <v>51.69</v>
      </c>
    </row>
    <row r="2210" spans="1:9" x14ac:dyDescent="0.25">
      <c r="A2210">
        <v>2774</v>
      </c>
      <c r="B2210" s="1">
        <v>45557</v>
      </c>
      <c r="C2210">
        <v>31</v>
      </c>
      <c r="D2210">
        <v>6</v>
      </c>
      <c r="E2210">
        <v>2</v>
      </c>
      <c r="F2210">
        <v>5</v>
      </c>
      <c r="G2210" t="s">
        <v>1045</v>
      </c>
      <c r="H2210">
        <f>_xlfn.XLOOKUP(D2210, productos!$A$2:$A$150, productos!$D$2:$D$150, "No Encontrado", 0)</f>
        <v>28.56</v>
      </c>
      <c r="I2210">
        <f t="shared" si="34"/>
        <v>57.12</v>
      </c>
    </row>
    <row r="2211" spans="1:9" x14ac:dyDescent="0.25">
      <c r="A2211">
        <v>2783</v>
      </c>
      <c r="B2211" s="1">
        <v>45557</v>
      </c>
      <c r="C2211">
        <v>61</v>
      </c>
      <c r="D2211">
        <v>10</v>
      </c>
      <c r="E2211">
        <v>5</v>
      </c>
      <c r="F2211">
        <v>1</v>
      </c>
      <c r="G2211" t="s">
        <v>1044</v>
      </c>
      <c r="H2211">
        <f>_xlfn.XLOOKUP(D2211, productos!$A$2:$A$150, productos!$D$2:$D$150, "No Encontrado", 0)</f>
        <v>14.25</v>
      </c>
      <c r="I2211">
        <f t="shared" si="34"/>
        <v>71.25</v>
      </c>
    </row>
    <row r="2212" spans="1:9" x14ac:dyDescent="0.25">
      <c r="A2212">
        <v>2968</v>
      </c>
      <c r="B2212" s="1">
        <v>45557</v>
      </c>
      <c r="C2212">
        <v>245</v>
      </c>
      <c r="D2212">
        <v>29</v>
      </c>
      <c r="E2212">
        <v>2</v>
      </c>
      <c r="F2212">
        <v>1</v>
      </c>
      <c r="G2212" t="s">
        <v>1044</v>
      </c>
      <c r="H2212">
        <f>_xlfn.XLOOKUP(D2212, productos!$A$2:$A$150, productos!$D$2:$D$150, "No Encontrado", 0)</f>
        <v>11.54</v>
      </c>
      <c r="I2212">
        <f t="shared" si="34"/>
        <v>23.08</v>
      </c>
    </row>
    <row r="2213" spans="1:9" x14ac:dyDescent="0.25">
      <c r="A2213">
        <v>463</v>
      </c>
      <c r="B2213" s="1">
        <v>45558</v>
      </c>
      <c r="C2213">
        <v>280</v>
      </c>
      <c r="D2213">
        <v>32</v>
      </c>
      <c r="E2213">
        <v>4</v>
      </c>
      <c r="F2213">
        <v>2</v>
      </c>
      <c r="G2213" t="s">
        <v>1044</v>
      </c>
      <c r="H2213">
        <f>_xlfn.XLOOKUP(D2213, productos!$A$2:$A$150, productos!$D$2:$D$150, "No Encontrado", 0)</f>
        <v>6.25</v>
      </c>
      <c r="I2213">
        <f t="shared" si="34"/>
        <v>25</v>
      </c>
    </row>
    <row r="2214" spans="1:9" x14ac:dyDescent="0.25">
      <c r="A2214">
        <v>470</v>
      </c>
      <c r="B2214" s="1">
        <v>45558</v>
      </c>
      <c r="C2214">
        <v>62</v>
      </c>
      <c r="D2214">
        <v>12</v>
      </c>
      <c r="E2214">
        <v>4</v>
      </c>
      <c r="F2214">
        <v>3</v>
      </c>
      <c r="G2214" t="s">
        <v>1045</v>
      </c>
      <c r="H2214">
        <f>_xlfn.XLOOKUP(D2214, productos!$A$2:$A$150, productos!$D$2:$D$150, "No Encontrado", 0)</f>
        <v>8.1199999999999992</v>
      </c>
      <c r="I2214">
        <f t="shared" si="34"/>
        <v>32.479999999999997</v>
      </c>
    </row>
    <row r="2215" spans="1:9" x14ac:dyDescent="0.25">
      <c r="A2215">
        <v>534</v>
      </c>
      <c r="B2215" s="1">
        <v>45558</v>
      </c>
      <c r="C2215">
        <v>56</v>
      </c>
      <c r="D2215">
        <v>1</v>
      </c>
      <c r="E2215">
        <v>5</v>
      </c>
      <c r="F2215">
        <v>1</v>
      </c>
      <c r="G2215" t="s">
        <v>1044</v>
      </c>
      <c r="H2215">
        <f>_xlfn.XLOOKUP(D2215, productos!$A$2:$A$150, productos!$D$2:$D$150, "No Encontrado", 0)</f>
        <v>12.24</v>
      </c>
      <c r="I2215">
        <f t="shared" si="34"/>
        <v>61.2</v>
      </c>
    </row>
    <row r="2216" spans="1:9" x14ac:dyDescent="0.25">
      <c r="A2216">
        <v>568</v>
      </c>
      <c r="B2216" s="1">
        <v>45558</v>
      </c>
      <c r="C2216">
        <v>230</v>
      </c>
      <c r="D2216">
        <v>31</v>
      </c>
      <c r="E2216">
        <v>3</v>
      </c>
      <c r="F2216">
        <v>1</v>
      </c>
      <c r="G2216" t="s">
        <v>1044</v>
      </c>
      <c r="H2216">
        <f>_xlfn.XLOOKUP(D2216, productos!$A$2:$A$150, productos!$D$2:$D$150, "No Encontrado", 0)</f>
        <v>5.24</v>
      </c>
      <c r="I2216">
        <f t="shared" si="34"/>
        <v>15.72</v>
      </c>
    </row>
    <row r="2217" spans="1:9" x14ac:dyDescent="0.25">
      <c r="A2217">
        <v>1180</v>
      </c>
      <c r="B2217" s="1">
        <v>45558</v>
      </c>
      <c r="C2217">
        <v>256</v>
      </c>
      <c r="D2217">
        <v>10</v>
      </c>
      <c r="E2217">
        <v>1</v>
      </c>
      <c r="F2217">
        <v>5</v>
      </c>
      <c r="G2217" t="s">
        <v>1045</v>
      </c>
      <c r="H2217">
        <f>_xlfn.XLOOKUP(D2217, productos!$A$2:$A$150, productos!$D$2:$D$150, "No Encontrado", 0)</f>
        <v>14.25</v>
      </c>
      <c r="I2217">
        <f t="shared" si="34"/>
        <v>14.25</v>
      </c>
    </row>
    <row r="2218" spans="1:9" x14ac:dyDescent="0.25">
      <c r="A2218">
        <v>1340</v>
      </c>
      <c r="B2218" s="1">
        <v>45558</v>
      </c>
      <c r="C2218">
        <v>8</v>
      </c>
      <c r="D2218">
        <v>3</v>
      </c>
      <c r="E2218">
        <v>3</v>
      </c>
      <c r="F2218">
        <v>5</v>
      </c>
      <c r="G2218" t="s">
        <v>1044</v>
      </c>
      <c r="H2218">
        <f>_xlfn.XLOOKUP(D2218, productos!$A$2:$A$150, productos!$D$2:$D$150, "No Encontrado", 0)</f>
        <v>17.23</v>
      </c>
      <c r="I2218">
        <f t="shared" si="34"/>
        <v>51.69</v>
      </c>
    </row>
    <row r="2219" spans="1:9" x14ac:dyDescent="0.25">
      <c r="A2219">
        <v>2620</v>
      </c>
      <c r="B2219" s="1">
        <v>45558</v>
      </c>
      <c r="C2219">
        <v>29</v>
      </c>
      <c r="D2219">
        <v>22</v>
      </c>
      <c r="E2219">
        <v>2</v>
      </c>
      <c r="F2219">
        <v>5</v>
      </c>
      <c r="G2219" t="s">
        <v>1044</v>
      </c>
      <c r="H2219">
        <f>_xlfn.XLOOKUP(D2219, productos!$A$2:$A$150, productos!$D$2:$D$150, "No Encontrado", 0)</f>
        <v>4.21</v>
      </c>
      <c r="I2219">
        <f t="shared" si="34"/>
        <v>8.42</v>
      </c>
    </row>
    <row r="2220" spans="1:9" x14ac:dyDescent="0.25">
      <c r="A2220">
        <v>368</v>
      </c>
      <c r="B2220" s="1">
        <v>45559</v>
      </c>
      <c r="C2220">
        <v>276</v>
      </c>
      <c r="D2220">
        <v>32</v>
      </c>
      <c r="E2220">
        <v>2</v>
      </c>
      <c r="F2220">
        <v>3</v>
      </c>
      <c r="G2220" t="s">
        <v>1045</v>
      </c>
      <c r="H2220">
        <f>_xlfn.XLOOKUP(D2220, productos!$A$2:$A$150, productos!$D$2:$D$150, "No Encontrado", 0)</f>
        <v>6.25</v>
      </c>
      <c r="I2220">
        <f t="shared" si="34"/>
        <v>12.5</v>
      </c>
    </row>
    <row r="2221" spans="1:9" x14ac:dyDescent="0.25">
      <c r="A2221">
        <v>462</v>
      </c>
      <c r="B2221" s="1">
        <v>45559</v>
      </c>
      <c r="C2221">
        <v>100</v>
      </c>
      <c r="D2221">
        <v>32</v>
      </c>
      <c r="E2221">
        <v>5</v>
      </c>
      <c r="F2221">
        <v>4</v>
      </c>
      <c r="G2221" t="s">
        <v>1044</v>
      </c>
      <c r="H2221">
        <f>_xlfn.XLOOKUP(D2221, productos!$A$2:$A$150, productos!$D$2:$D$150, "No Encontrado", 0)</f>
        <v>6.25</v>
      </c>
      <c r="I2221">
        <f t="shared" si="34"/>
        <v>31.25</v>
      </c>
    </row>
    <row r="2222" spans="1:9" x14ac:dyDescent="0.25">
      <c r="A2222">
        <v>637</v>
      </c>
      <c r="B2222" s="1">
        <v>45559</v>
      </c>
      <c r="C2222">
        <v>176</v>
      </c>
      <c r="D2222">
        <v>33</v>
      </c>
      <c r="E2222">
        <v>6</v>
      </c>
      <c r="F2222">
        <v>5</v>
      </c>
      <c r="G2222" t="s">
        <v>1044</v>
      </c>
      <c r="H2222">
        <f>_xlfn.XLOOKUP(D2222, productos!$A$2:$A$150, productos!$D$2:$D$150, "No Encontrado", 0)</f>
        <v>8.5399999999999991</v>
      </c>
      <c r="I2222">
        <f t="shared" si="34"/>
        <v>51.239999999999995</v>
      </c>
    </row>
    <row r="2223" spans="1:9" x14ac:dyDescent="0.25">
      <c r="A2223">
        <v>1402</v>
      </c>
      <c r="B2223" s="1">
        <v>45559</v>
      </c>
      <c r="C2223">
        <v>31</v>
      </c>
      <c r="D2223">
        <v>35</v>
      </c>
      <c r="E2223">
        <v>1</v>
      </c>
      <c r="F2223">
        <v>4</v>
      </c>
      <c r="G2223" t="s">
        <v>1044</v>
      </c>
      <c r="H2223">
        <f>_xlfn.XLOOKUP(D2223, productos!$A$2:$A$150, productos!$D$2:$D$150, "No Encontrado", 0)</f>
        <v>4.25</v>
      </c>
      <c r="I2223">
        <f t="shared" si="34"/>
        <v>4.25</v>
      </c>
    </row>
    <row r="2224" spans="1:9" x14ac:dyDescent="0.25">
      <c r="A2224">
        <v>2377</v>
      </c>
      <c r="B2224" s="1">
        <v>45559</v>
      </c>
      <c r="C2224">
        <v>224</v>
      </c>
      <c r="D2224">
        <v>26</v>
      </c>
      <c r="E2224">
        <v>5</v>
      </c>
      <c r="F2224">
        <v>4</v>
      </c>
      <c r="G2224" t="s">
        <v>1044</v>
      </c>
      <c r="H2224">
        <f>_xlfn.XLOOKUP(D2224, productos!$A$2:$A$150, productos!$D$2:$D$150, "No Encontrado", 0)</f>
        <v>9.5399999999999991</v>
      </c>
      <c r="I2224">
        <f t="shared" si="34"/>
        <v>47.699999999999996</v>
      </c>
    </row>
    <row r="2225" spans="1:9" x14ac:dyDescent="0.25">
      <c r="A2225">
        <v>2735</v>
      </c>
      <c r="B2225" s="1">
        <v>45559</v>
      </c>
      <c r="C2225">
        <v>3</v>
      </c>
      <c r="D2225">
        <v>36</v>
      </c>
      <c r="E2225">
        <v>2</v>
      </c>
      <c r="F2225">
        <v>4</v>
      </c>
      <c r="G2225" t="s">
        <v>1045</v>
      </c>
      <c r="H2225">
        <f>_xlfn.XLOOKUP(D2225, productos!$A$2:$A$150, productos!$D$2:$D$150, "No Encontrado", 0)</f>
        <v>3.25</v>
      </c>
      <c r="I2225">
        <f t="shared" si="34"/>
        <v>6.5</v>
      </c>
    </row>
    <row r="2226" spans="1:9" x14ac:dyDescent="0.25">
      <c r="A2226">
        <v>478</v>
      </c>
      <c r="B2226" s="1">
        <v>45560</v>
      </c>
      <c r="C2226">
        <v>108</v>
      </c>
      <c r="D2226">
        <v>31</v>
      </c>
      <c r="E2226">
        <v>1</v>
      </c>
      <c r="F2226">
        <v>4</v>
      </c>
      <c r="G2226" t="s">
        <v>1044</v>
      </c>
      <c r="H2226">
        <f>_xlfn.XLOOKUP(D2226, productos!$A$2:$A$150, productos!$D$2:$D$150, "No Encontrado", 0)</f>
        <v>5.24</v>
      </c>
      <c r="I2226">
        <f t="shared" si="34"/>
        <v>5.24</v>
      </c>
    </row>
    <row r="2227" spans="1:9" x14ac:dyDescent="0.25">
      <c r="A2227">
        <v>635</v>
      </c>
      <c r="B2227" s="1">
        <v>45560</v>
      </c>
      <c r="C2227">
        <v>261</v>
      </c>
      <c r="D2227">
        <v>5</v>
      </c>
      <c r="E2227">
        <v>2</v>
      </c>
      <c r="F2227">
        <v>1</v>
      </c>
      <c r="G2227" t="s">
        <v>1044</v>
      </c>
      <c r="H2227">
        <f>_xlfn.XLOOKUP(D2227, productos!$A$2:$A$150, productos!$D$2:$D$150, "No Encontrado", 0)</f>
        <v>5.65</v>
      </c>
      <c r="I2227">
        <f t="shared" si="34"/>
        <v>11.3</v>
      </c>
    </row>
    <row r="2228" spans="1:9" x14ac:dyDescent="0.25">
      <c r="A2228">
        <v>805</v>
      </c>
      <c r="B2228" s="1">
        <v>45560</v>
      </c>
      <c r="C2228">
        <v>270</v>
      </c>
      <c r="D2228">
        <v>26</v>
      </c>
      <c r="E2228">
        <v>2</v>
      </c>
      <c r="F2228">
        <v>3</v>
      </c>
      <c r="G2228" t="s">
        <v>1044</v>
      </c>
      <c r="H2228">
        <f>_xlfn.XLOOKUP(D2228, productos!$A$2:$A$150, productos!$D$2:$D$150, "No Encontrado", 0)</f>
        <v>9.5399999999999991</v>
      </c>
      <c r="I2228">
        <f t="shared" si="34"/>
        <v>19.079999999999998</v>
      </c>
    </row>
    <row r="2229" spans="1:9" x14ac:dyDescent="0.25">
      <c r="A2229">
        <v>878</v>
      </c>
      <c r="B2229" s="1">
        <v>45560</v>
      </c>
      <c r="C2229">
        <v>153</v>
      </c>
      <c r="D2229">
        <v>26</v>
      </c>
      <c r="E2229">
        <v>2</v>
      </c>
      <c r="F2229">
        <v>1</v>
      </c>
      <c r="G2229" t="s">
        <v>1044</v>
      </c>
      <c r="H2229">
        <f>_xlfn.XLOOKUP(D2229, productos!$A$2:$A$150, productos!$D$2:$D$150, "No Encontrado", 0)</f>
        <v>9.5399999999999991</v>
      </c>
      <c r="I2229">
        <f t="shared" si="34"/>
        <v>19.079999999999998</v>
      </c>
    </row>
    <row r="2230" spans="1:9" x14ac:dyDescent="0.25">
      <c r="A2230">
        <v>1072</v>
      </c>
      <c r="B2230" s="1">
        <v>45560</v>
      </c>
      <c r="C2230">
        <v>155</v>
      </c>
      <c r="D2230">
        <v>28</v>
      </c>
      <c r="E2230">
        <v>2</v>
      </c>
      <c r="F2230">
        <v>4</v>
      </c>
      <c r="G2230" t="s">
        <v>1044</v>
      </c>
      <c r="H2230">
        <f>_xlfn.XLOOKUP(D2230, productos!$A$2:$A$150, productos!$D$2:$D$150, "No Encontrado", 0)</f>
        <v>9.4499999999999993</v>
      </c>
      <c r="I2230">
        <f t="shared" si="34"/>
        <v>18.899999999999999</v>
      </c>
    </row>
    <row r="2231" spans="1:9" x14ac:dyDescent="0.25">
      <c r="A2231">
        <v>1204</v>
      </c>
      <c r="B2231" s="1">
        <v>45560</v>
      </c>
      <c r="C2231">
        <v>280</v>
      </c>
      <c r="D2231">
        <v>33</v>
      </c>
      <c r="E2231">
        <v>1</v>
      </c>
      <c r="F2231">
        <v>4</v>
      </c>
      <c r="G2231" t="s">
        <v>1044</v>
      </c>
      <c r="H2231">
        <f>_xlfn.XLOOKUP(D2231, productos!$A$2:$A$150, productos!$D$2:$D$150, "No Encontrado", 0)</f>
        <v>8.5399999999999991</v>
      </c>
      <c r="I2231">
        <f t="shared" si="34"/>
        <v>8.5399999999999991</v>
      </c>
    </row>
    <row r="2232" spans="1:9" x14ac:dyDescent="0.25">
      <c r="A2232">
        <v>1555</v>
      </c>
      <c r="B2232" s="1">
        <v>45560</v>
      </c>
      <c r="C2232">
        <v>9</v>
      </c>
      <c r="D2232">
        <v>25</v>
      </c>
      <c r="E2232">
        <v>2</v>
      </c>
      <c r="F2232">
        <v>2</v>
      </c>
      <c r="G2232" t="s">
        <v>1044</v>
      </c>
      <c r="H2232">
        <f>_xlfn.XLOOKUP(D2232, productos!$A$2:$A$150, productos!$D$2:$D$150, "No Encontrado", 0)</f>
        <v>15.45</v>
      </c>
      <c r="I2232">
        <f t="shared" si="34"/>
        <v>30.9</v>
      </c>
    </row>
    <row r="2233" spans="1:9" x14ac:dyDescent="0.25">
      <c r="A2233">
        <v>1949</v>
      </c>
      <c r="B2233" s="1">
        <v>45560</v>
      </c>
      <c r="C2233">
        <v>223</v>
      </c>
      <c r="D2233">
        <v>1</v>
      </c>
      <c r="E2233">
        <v>3</v>
      </c>
      <c r="F2233">
        <v>1</v>
      </c>
      <c r="G2233" t="s">
        <v>1044</v>
      </c>
      <c r="H2233">
        <f>_xlfn.XLOOKUP(D2233, productos!$A$2:$A$150, productos!$D$2:$D$150, "No Encontrado", 0)</f>
        <v>12.24</v>
      </c>
      <c r="I2233">
        <f t="shared" si="34"/>
        <v>36.72</v>
      </c>
    </row>
    <row r="2234" spans="1:9" x14ac:dyDescent="0.25">
      <c r="A2234">
        <v>1992</v>
      </c>
      <c r="B2234" s="1">
        <v>45560</v>
      </c>
      <c r="C2234">
        <v>266</v>
      </c>
      <c r="D2234">
        <v>29</v>
      </c>
      <c r="E2234">
        <v>6</v>
      </c>
      <c r="F2234">
        <v>4</v>
      </c>
      <c r="G2234" t="s">
        <v>1044</v>
      </c>
      <c r="H2234">
        <f>_xlfn.XLOOKUP(D2234, productos!$A$2:$A$150, productos!$D$2:$D$150, "No Encontrado", 0)</f>
        <v>11.54</v>
      </c>
      <c r="I2234">
        <f t="shared" si="34"/>
        <v>69.239999999999995</v>
      </c>
    </row>
    <row r="2235" spans="1:9" x14ac:dyDescent="0.25">
      <c r="A2235">
        <v>2513</v>
      </c>
      <c r="B2235" s="1">
        <v>45560</v>
      </c>
      <c r="C2235">
        <v>290</v>
      </c>
      <c r="D2235">
        <v>18</v>
      </c>
      <c r="E2235">
        <v>1</v>
      </c>
      <c r="F2235">
        <v>1</v>
      </c>
      <c r="G2235" t="s">
        <v>1044</v>
      </c>
      <c r="H2235">
        <f>_xlfn.XLOOKUP(D2235, productos!$A$2:$A$150, productos!$D$2:$D$150, "No Encontrado", 0)</f>
        <v>7.25</v>
      </c>
      <c r="I2235">
        <f t="shared" si="34"/>
        <v>7.25</v>
      </c>
    </row>
    <row r="2236" spans="1:9" x14ac:dyDescent="0.25">
      <c r="A2236">
        <v>2576</v>
      </c>
      <c r="B2236" s="1">
        <v>45560</v>
      </c>
      <c r="C2236">
        <v>214</v>
      </c>
      <c r="D2236">
        <v>15</v>
      </c>
      <c r="E2236">
        <v>2</v>
      </c>
      <c r="F2236">
        <v>3</v>
      </c>
      <c r="G2236" t="s">
        <v>1045</v>
      </c>
      <c r="H2236">
        <f>_xlfn.XLOOKUP(D2236, productos!$A$2:$A$150, productos!$D$2:$D$150, "No Encontrado", 0)</f>
        <v>3.51</v>
      </c>
      <c r="I2236">
        <f t="shared" si="34"/>
        <v>7.02</v>
      </c>
    </row>
    <row r="2237" spans="1:9" x14ac:dyDescent="0.25">
      <c r="A2237">
        <v>2650</v>
      </c>
      <c r="B2237" s="1">
        <v>45560</v>
      </c>
      <c r="C2237">
        <v>48</v>
      </c>
      <c r="D2237">
        <v>26</v>
      </c>
      <c r="E2237">
        <v>2</v>
      </c>
      <c r="F2237">
        <v>2</v>
      </c>
      <c r="G2237" t="s">
        <v>1045</v>
      </c>
      <c r="H2237">
        <f>_xlfn.XLOOKUP(D2237, productos!$A$2:$A$150, productos!$D$2:$D$150, "No Encontrado", 0)</f>
        <v>9.5399999999999991</v>
      </c>
      <c r="I2237">
        <f t="shared" si="34"/>
        <v>19.079999999999998</v>
      </c>
    </row>
    <row r="2238" spans="1:9" x14ac:dyDescent="0.25">
      <c r="A2238">
        <v>2682</v>
      </c>
      <c r="B2238" s="1">
        <v>45560</v>
      </c>
      <c r="C2238">
        <v>8</v>
      </c>
      <c r="D2238">
        <v>17</v>
      </c>
      <c r="E2238">
        <v>5</v>
      </c>
      <c r="F2238">
        <v>4</v>
      </c>
      <c r="G2238" t="s">
        <v>1044</v>
      </c>
      <c r="H2238">
        <f>_xlfn.XLOOKUP(D2238, productos!$A$2:$A$150, productos!$D$2:$D$150, "No Encontrado", 0)</f>
        <v>6.54</v>
      </c>
      <c r="I2238">
        <f t="shared" si="34"/>
        <v>32.700000000000003</v>
      </c>
    </row>
    <row r="2239" spans="1:9" x14ac:dyDescent="0.25">
      <c r="A2239">
        <v>2833</v>
      </c>
      <c r="B2239" s="1">
        <v>45560</v>
      </c>
      <c r="C2239">
        <v>202</v>
      </c>
      <c r="D2239">
        <v>36</v>
      </c>
      <c r="E2239">
        <v>5</v>
      </c>
      <c r="F2239">
        <v>1</v>
      </c>
      <c r="G2239" t="s">
        <v>1044</v>
      </c>
      <c r="H2239">
        <f>_xlfn.XLOOKUP(D2239, productos!$A$2:$A$150, productos!$D$2:$D$150, "No Encontrado", 0)</f>
        <v>3.25</v>
      </c>
      <c r="I2239">
        <f t="shared" si="34"/>
        <v>16.25</v>
      </c>
    </row>
    <row r="2240" spans="1:9" x14ac:dyDescent="0.25">
      <c r="A2240">
        <v>604</v>
      </c>
      <c r="B2240" s="1">
        <v>45561</v>
      </c>
      <c r="C2240">
        <v>321</v>
      </c>
      <c r="D2240">
        <v>6</v>
      </c>
      <c r="E2240">
        <v>3</v>
      </c>
      <c r="F2240">
        <v>4</v>
      </c>
      <c r="G2240" t="s">
        <v>1044</v>
      </c>
      <c r="H2240">
        <f>_xlfn.XLOOKUP(D2240, productos!$A$2:$A$150, productos!$D$2:$D$150, "No Encontrado", 0)</f>
        <v>28.56</v>
      </c>
      <c r="I2240">
        <f t="shared" si="34"/>
        <v>85.679999999999993</v>
      </c>
    </row>
    <row r="2241" spans="1:9" x14ac:dyDescent="0.25">
      <c r="A2241">
        <v>1092</v>
      </c>
      <c r="B2241" s="1">
        <v>45561</v>
      </c>
      <c r="C2241">
        <v>232</v>
      </c>
      <c r="D2241">
        <v>9</v>
      </c>
      <c r="E2241">
        <v>1</v>
      </c>
      <c r="F2241">
        <v>1</v>
      </c>
      <c r="G2241" t="s">
        <v>1044</v>
      </c>
      <c r="H2241">
        <f>_xlfn.XLOOKUP(D2241, productos!$A$2:$A$150, productos!$D$2:$D$150, "No Encontrado", 0)</f>
        <v>18.559999999999999</v>
      </c>
      <c r="I2241">
        <f t="shared" si="34"/>
        <v>18.559999999999999</v>
      </c>
    </row>
    <row r="2242" spans="1:9" x14ac:dyDescent="0.25">
      <c r="A2242">
        <v>1567</v>
      </c>
      <c r="B2242" s="1">
        <v>45561</v>
      </c>
      <c r="C2242">
        <v>147</v>
      </c>
      <c r="D2242">
        <v>15</v>
      </c>
      <c r="E2242">
        <v>4</v>
      </c>
      <c r="F2242">
        <v>4</v>
      </c>
      <c r="G2242" t="s">
        <v>1044</v>
      </c>
      <c r="H2242">
        <f>_xlfn.XLOOKUP(D2242, productos!$A$2:$A$150, productos!$D$2:$D$150, "No Encontrado", 0)</f>
        <v>3.51</v>
      </c>
      <c r="I2242">
        <f t="shared" si="34"/>
        <v>14.04</v>
      </c>
    </row>
    <row r="2243" spans="1:9" x14ac:dyDescent="0.25">
      <c r="A2243">
        <v>2707</v>
      </c>
      <c r="B2243" s="1">
        <v>45561</v>
      </c>
      <c r="C2243">
        <v>244</v>
      </c>
      <c r="D2243">
        <v>23</v>
      </c>
      <c r="E2243">
        <v>1</v>
      </c>
      <c r="F2243">
        <v>5</v>
      </c>
      <c r="G2243" t="s">
        <v>1044</v>
      </c>
      <c r="H2243">
        <f>_xlfn.XLOOKUP(D2243, productos!$A$2:$A$150, productos!$D$2:$D$150, "No Encontrado", 0)</f>
        <v>8.23</v>
      </c>
      <c r="I2243">
        <f t="shared" ref="I2243:I2306" si="35">E2243*H2243</f>
        <v>8.23</v>
      </c>
    </row>
    <row r="2244" spans="1:9" x14ac:dyDescent="0.25">
      <c r="A2244">
        <v>2711</v>
      </c>
      <c r="B2244" s="1">
        <v>45561</v>
      </c>
      <c r="C2244">
        <v>309</v>
      </c>
      <c r="D2244">
        <v>5</v>
      </c>
      <c r="E2244">
        <v>4</v>
      </c>
      <c r="F2244">
        <v>1</v>
      </c>
      <c r="G2244" t="s">
        <v>1044</v>
      </c>
      <c r="H2244">
        <f>_xlfn.XLOOKUP(D2244, productos!$A$2:$A$150, productos!$D$2:$D$150, "No Encontrado", 0)</f>
        <v>5.65</v>
      </c>
      <c r="I2244">
        <f t="shared" si="35"/>
        <v>22.6</v>
      </c>
    </row>
    <row r="2245" spans="1:9" x14ac:dyDescent="0.25">
      <c r="A2245">
        <v>2819</v>
      </c>
      <c r="B2245" s="1">
        <v>45561</v>
      </c>
      <c r="C2245">
        <v>6</v>
      </c>
      <c r="D2245">
        <v>25</v>
      </c>
      <c r="E2245">
        <v>1</v>
      </c>
      <c r="F2245">
        <v>2</v>
      </c>
      <c r="G2245" t="s">
        <v>1044</v>
      </c>
      <c r="H2245">
        <f>_xlfn.XLOOKUP(D2245, productos!$A$2:$A$150, productos!$D$2:$D$150, "No Encontrado", 0)</f>
        <v>15.45</v>
      </c>
      <c r="I2245">
        <f t="shared" si="35"/>
        <v>15.45</v>
      </c>
    </row>
    <row r="2246" spans="1:9" x14ac:dyDescent="0.25">
      <c r="A2246">
        <v>451</v>
      </c>
      <c r="B2246" s="1">
        <v>45562</v>
      </c>
      <c r="C2246">
        <v>290</v>
      </c>
      <c r="D2246">
        <v>7</v>
      </c>
      <c r="E2246">
        <v>3</v>
      </c>
      <c r="F2246">
        <v>4</v>
      </c>
      <c r="G2246" t="s">
        <v>1044</v>
      </c>
      <c r="H2246">
        <f>_xlfn.XLOOKUP(D2246, productos!$A$2:$A$150, productos!$D$2:$D$150, "No Encontrado", 0)</f>
        <v>11.25</v>
      </c>
      <c r="I2246">
        <f t="shared" si="35"/>
        <v>33.75</v>
      </c>
    </row>
    <row r="2247" spans="1:9" x14ac:dyDescent="0.25">
      <c r="A2247">
        <v>647</v>
      </c>
      <c r="B2247" s="1">
        <v>45562</v>
      </c>
      <c r="C2247">
        <v>286</v>
      </c>
      <c r="D2247">
        <v>19</v>
      </c>
      <c r="E2247">
        <v>5</v>
      </c>
      <c r="F2247">
        <v>1</v>
      </c>
      <c r="G2247" t="s">
        <v>1044</v>
      </c>
      <c r="H2247">
        <f>_xlfn.XLOOKUP(D2247, productos!$A$2:$A$150, productos!$D$2:$D$150, "No Encontrado", 0)</f>
        <v>6.54</v>
      </c>
      <c r="I2247">
        <f t="shared" si="35"/>
        <v>32.700000000000003</v>
      </c>
    </row>
    <row r="2248" spans="1:9" x14ac:dyDescent="0.25">
      <c r="A2248">
        <v>697</v>
      </c>
      <c r="B2248" s="1">
        <v>45562</v>
      </c>
      <c r="C2248">
        <v>21</v>
      </c>
      <c r="D2248">
        <v>19</v>
      </c>
      <c r="E2248">
        <v>6</v>
      </c>
      <c r="F2248">
        <v>2</v>
      </c>
      <c r="G2248" t="s">
        <v>1044</v>
      </c>
      <c r="H2248">
        <f>_xlfn.XLOOKUP(D2248, productos!$A$2:$A$150, productos!$D$2:$D$150, "No Encontrado", 0)</f>
        <v>6.54</v>
      </c>
      <c r="I2248">
        <f t="shared" si="35"/>
        <v>39.24</v>
      </c>
    </row>
    <row r="2249" spans="1:9" x14ac:dyDescent="0.25">
      <c r="A2249">
        <v>736</v>
      </c>
      <c r="B2249" s="1">
        <v>45562</v>
      </c>
      <c r="C2249">
        <v>325</v>
      </c>
      <c r="D2249">
        <v>5</v>
      </c>
      <c r="E2249">
        <v>6</v>
      </c>
      <c r="F2249">
        <v>5</v>
      </c>
      <c r="G2249" t="s">
        <v>1044</v>
      </c>
      <c r="H2249">
        <f>_xlfn.XLOOKUP(D2249, productos!$A$2:$A$150, productos!$D$2:$D$150, "No Encontrado", 0)</f>
        <v>5.65</v>
      </c>
      <c r="I2249">
        <f t="shared" si="35"/>
        <v>33.900000000000006</v>
      </c>
    </row>
    <row r="2250" spans="1:9" x14ac:dyDescent="0.25">
      <c r="A2250">
        <v>1523</v>
      </c>
      <c r="B2250" s="1">
        <v>45562</v>
      </c>
      <c r="C2250">
        <v>79</v>
      </c>
      <c r="D2250">
        <v>30</v>
      </c>
      <c r="E2250">
        <v>3</v>
      </c>
      <c r="F2250">
        <v>4</v>
      </c>
      <c r="G2250" t="s">
        <v>1044</v>
      </c>
      <c r="H2250">
        <f>_xlfn.XLOOKUP(D2250, productos!$A$2:$A$150, productos!$D$2:$D$150, "No Encontrado", 0)</f>
        <v>13.54</v>
      </c>
      <c r="I2250">
        <f t="shared" si="35"/>
        <v>40.619999999999997</v>
      </c>
    </row>
    <row r="2251" spans="1:9" x14ac:dyDescent="0.25">
      <c r="A2251">
        <v>1670</v>
      </c>
      <c r="B2251" s="1">
        <v>45562</v>
      </c>
      <c r="C2251">
        <v>95</v>
      </c>
      <c r="D2251">
        <v>4</v>
      </c>
      <c r="E2251">
        <v>5</v>
      </c>
      <c r="F2251">
        <v>3</v>
      </c>
      <c r="G2251" t="s">
        <v>1044</v>
      </c>
      <c r="H2251">
        <f>_xlfn.XLOOKUP(D2251, productos!$A$2:$A$150, productos!$D$2:$D$150, "No Encontrado", 0)</f>
        <v>19.23</v>
      </c>
      <c r="I2251">
        <f t="shared" si="35"/>
        <v>96.15</v>
      </c>
    </row>
    <row r="2252" spans="1:9" x14ac:dyDescent="0.25">
      <c r="A2252">
        <v>1925</v>
      </c>
      <c r="B2252" s="1">
        <v>45562</v>
      </c>
      <c r="C2252">
        <v>101</v>
      </c>
      <c r="D2252">
        <v>10</v>
      </c>
      <c r="E2252">
        <v>4</v>
      </c>
      <c r="F2252">
        <v>1</v>
      </c>
      <c r="G2252" t="s">
        <v>1044</v>
      </c>
      <c r="H2252">
        <f>_xlfn.XLOOKUP(D2252, productos!$A$2:$A$150, productos!$D$2:$D$150, "No Encontrado", 0)</f>
        <v>14.25</v>
      </c>
      <c r="I2252">
        <f t="shared" si="35"/>
        <v>57</v>
      </c>
    </row>
    <row r="2253" spans="1:9" x14ac:dyDescent="0.25">
      <c r="A2253">
        <v>1946</v>
      </c>
      <c r="B2253" s="1">
        <v>45562</v>
      </c>
      <c r="C2253">
        <v>277</v>
      </c>
      <c r="D2253">
        <v>2</v>
      </c>
      <c r="E2253">
        <v>5</v>
      </c>
      <c r="F2253">
        <v>3</v>
      </c>
      <c r="G2253" t="s">
        <v>1044</v>
      </c>
      <c r="H2253">
        <f>_xlfn.XLOOKUP(D2253, productos!$A$2:$A$150, productos!$D$2:$D$150, "No Encontrado", 0)</f>
        <v>5.21</v>
      </c>
      <c r="I2253">
        <f t="shared" si="35"/>
        <v>26.05</v>
      </c>
    </row>
    <row r="2254" spans="1:9" x14ac:dyDescent="0.25">
      <c r="A2254">
        <v>2553</v>
      </c>
      <c r="B2254" s="1">
        <v>45562</v>
      </c>
      <c r="C2254">
        <v>120</v>
      </c>
      <c r="D2254">
        <v>3</v>
      </c>
      <c r="E2254">
        <v>5</v>
      </c>
      <c r="F2254">
        <v>4</v>
      </c>
      <c r="G2254" t="s">
        <v>1044</v>
      </c>
      <c r="H2254">
        <f>_xlfn.XLOOKUP(D2254, productos!$A$2:$A$150, productos!$D$2:$D$150, "No Encontrado", 0)</f>
        <v>17.23</v>
      </c>
      <c r="I2254">
        <f t="shared" si="35"/>
        <v>86.15</v>
      </c>
    </row>
    <row r="2255" spans="1:9" x14ac:dyDescent="0.25">
      <c r="A2255">
        <v>2903</v>
      </c>
      <c r="B2255" s="1">
        <v>45562</v>
      </c>
      <c r="C2255">
        <v>306</v>
      </c>
      <c r="D2255">
        <v>6</v>
      </c>
      <c r="E2255">
        <v>2</v>
      </c>
      <c r="F2255">
        <v>2</v>
      </c>
      <c r="G2255" t="s">
        <v>1044</v>
      </c>
      <c r="H2255">
        <f>_xlfn.XLOOKUP(D2255, productos!$A$2:$A$150, productos!$D$2:$D$150, "No Encontrado", 0)</f>
        <v>28.56</v>
      </c>
      <c r="I2255">
        <f t="shared" si="35"/>
        <v>57.12</v>
      </c>
    </row>
    <row r="2256" spans="1:9" x14ac:dyDescent="0.25">
      <c r="A2256">
        <v>417</v>
      </c>
      <c r="B2256" s="1">
        <v>45563</v>
      </c>
      <c r="C2256">
        <v>40</v>
      </c>
      <c r="D2256">
        <v>8</v>
      </c>
      <c r="E2256">
        <v>6</v>
      </c>
      <c r="F2256">
        <v>4</v>
      </c>
      <c r="G2256" t="s">
        <v>1045</v>
      </c>
      <c r="H2256">
        <f>_xlfn.XLOOKUP(D2256, productos!$A$2:$A$150, productos!$D$2:$D$150, "No Encontrado", 0)</f>
        <v>16.21</v>
      </c>
      <c r="I2256">
        <f t="shared" si="35"/>
        <v>97.26</v>
      </c>
    </row>
    <row r="2257" spans="1:9" x14ac:dyDescent="0.25">
      <c r="A2257">
        <v>860</v>
      </c>
      <c r="B2257" s="1">
        <v>45563</v>
      </c>
      <c r="C2257">
        <v>106</v>
      </c>
      <c r="D2257">
        <v>2</v>
      </c>
      <c r="E2257">
        <v>6</v>
      </c>
      <c r="F2257">
        <v>4</v>
      </c>
      <c r="G2257" t="s">
        <v>1044</v>
      </c>
      <c r="H2257">
        <f>_xlfn.XLOOKUP(D2257, productos!$A$2:$A$150, productos!$D$2:$D$150, "No Encontrado", 0)</f>
        <v>5.21</v>
      </c>
      <c r="I2257">
        <f t="shared" si="35"/>
        <v>31.259999999999998</v>
      </c>
    </row>
    <row r="2258" spans="1:9" x14ac:dyDescent="0.25">
      <c r="A2258">
        <v>1179</v>
      </c>
      <c r="B2258" s="1">
        <v>45563</v>
      </c>
      <c r="C2258">
        <v>98</v>
      </c>
      <c r="D2258">
        <v>10</v>
      </c>
      <c r="E2258">
        <v>5</v>
      </c>
      <c r="F2258">
        <v>4</v>
      </c>
      <c r="G2258" t="s">
        <v>1044</v>
      </c>
      <c r="H2258">
        <f>_xlfn.XLOOKUP(D2258, productos!$A$2:$A$150, productos!$D$2:$D$150, "No Encontrado", 0)</f>
        <v>14.25</v>
      </c>
      <c r="I2258">
        <f t="shared" si="35"/>
        <v>71.25</v>
      </c>
    </row>
    <row r="2259" spans="1:9" x14ac:dyDescent="0.25">
      <c r="A2259">
        <v>1503</v>
      </c>
      <c r="B2259" s="1">
        <v>45563</v>
      </c>
      <c r="C2259">
        <v>121</v>
      </c>
      <c r="D2259">
        <v>12</v>
      </c>
      <c r="E2259">
        <v>6</v>
      </c>
      <c r="F2259">
        <v>3</v>
      </c>
      <c r="G2259" t="s">
        <v>1044</v>
      </c>
      <c r="H2259">
        <f>_xlfn.XLOOKUP(D2259, productos!$A$2:$A$150, productos!$D$2:$D$150, "No Encontrado", 0)</f>
        <v>8.1199999999999992</v>
      </c>
      <c r="I2259">
        <f t="shared" si="35"/>
        <v>48.72</v>
      </c>
    </row>
    <row r="2260" spans="1:9" x14ac:dyDescent="0.25">
      <c r="A2260">
        <v>2026</v>
      </c>
      <c r="B2260" s="1">
        <v>45563</v>
      </c>
      <c r="C2260">
        <v>48</v>
      </c>
      <c r="D2260">
        <v>17</v>
      </c>
      <c r="E2260">
        <v>3</v>
      </c>
      <c r="F2260">
        <v>4</v>
      </c>
      <c r="G2260" t="s">
        <v>1045</v>
      </c>
      <c r="H2260">
        <f>_xlfn.XLOOKUP(D2260, productos!$A$2:$A$150, productos!$D$2:$D$150, "No Encontrado", 0)</f>
        <v>6.54</v>
      </c>
      <c r="I2260">
        <f t="shared" si="35"/>
        <v>19.62</v>
      </c>
    </row>
    <row r="2261" spans="1:9" x14ac:dyDescent="0.25">
      <c r="A2261">
        <v>2174</v>
      </c>
      <c r="B2261" s="1">
        <v>45563</v>
      </c>
      <c r="C2261">
        <v>325</v>
      </c>
      <c r="D2261">
        <v>17</v>
      </c>
      <c r="E2261">
        <v>1</v>
      </c>
      <c r="F2261">
        <v>3</v>
      </c>
      <c r="G2261" t="s">
        <v>1044</v>
      </c>
      <c r="H2261">
        <f>_xlfn.XLOOKUP(D2261, productos!$A$2:$A$150, productos!$D$2:$D$150, "No Encontrado", 0)</f>
        <v>6.54</v>
      </c>
      <c r="I2261">
        <f t="shared" si="35"/>
        <v>6.54</v>
      </c>
    </row>
    <row r="2262" spans="1:9" x14ac:dyDescent="0.25">
      <c r="A2262">
        <v>2185</v>
      </c>
      <c r="B2262" s="1">
        <v>45563</v>
      </c>
      <c r="C2262">
        <v>250</v>
      </c>
      <c r="D2262">
        <v>10</v>
      </c>
      <c r="E2262">
        <v>2</v>
      </c>
      <c r="F2262">
        <v>1</v>
      </c>
      <c r="G2262" t="s">
        <v>1045</v>
      </c>
      <c r="H2262">
        <f>_xlfn.XLOOKUP(D2262, productos!$A$2:$A$150, productos!$D$2:$D$150, "No Encontrado", 0)</f>
        <v>14.25</v>
      </c>
      <c r="I2262">
        <f t="shared" si="35"/>
        <v>28.5</v>
      </c>
    </row>
    <row r="2263" spans="1:9" x14ac:dyDescent="0.25">
      <c r="A2263">
        <v>2211</v>
      </c>
      <c r="B2263" s="1">
        <v>45563</v>
      </c>
      <c r="C2263">
        <v>60</v>
      </c>
      <c r="D2263">
        <v>24</v>
      </c>
      <c r="E2263">
        <v>1</v>
      </c>
      <c r="F2263">
        <v>1</v>
      </c>
      <c r="G2263" t="s">
        <v>1044</v>
      </c>
      <c r="H2263">
        <f>_xlfn.XLOOKUP(D2263, productos!$A$2:$A$150, productos!$D$2:$D$150, "No Encontrado", 0)</f>
        <v>13.54</v>
      </c>
      <c r="I2263">
        <f t="shared" si="35"/>
        <v>13.54</v>
      </c>
    </row>
    <row r="2264" spans="1:9" x14ac:dyDescent="0.25">
      <c r="A2264">
        <v>2302</v>
      </c>
      <c r="B2264" s="1">
        <v>45563</v>
      </c>
      <c r="C2264">
        <v>41</v>
      </c>
      <c r="D2264">
        <v>21</v>
      </c>
      <c r="E2264">
        <v>4</v>
      </c>
      <c r="F2264">
        <v>4</v>
      </c>
      <c r="G2264" t="s">
        <v>1045</v>
      </c>
      <c r="H2264">
        <f>_xlfn.XLOOKUP(D2264, productos!$A$2:$A$150, productos!$D$2:$D$150, "No Encontrado", 0)</f>
        <v>3.25</v>
      </c>
      <c r="I2264">
        <f t="shared" si="35"/>
        <v>13</v>
      </c>
    </row>
    <row r="2265" spans="1:9" x14ac:dyDescent="0.25">
      <c r="A2265">
        <v>566</v>
      </c>
      <c r="B2265" s="1">
        <v>45564</v>
      </c>
      <c r="C2265">
        <v>109</v>
      </c>
      <c r="D2265">
        <v>16</v>
      </c>
      <c r="E2265">
        <v>1</v>
      </c>
      <c r="F2265">
        <v>5</v>
      </c>
      <c r="G2265" t="s">
        <v>1044</v>
      </c>
      <c r="H2265">
        <f>_xlfn.XLOOKUP(D2265, productos!$A$2:$A$150, productos!$D$2:$D$150, "No Encontrado", 0)</f>
        <v>15.23</v>
      </c>
      <c r="I2265">
        <f t="shared" si="35"/>
        <v>15.23</v>
      </c>
    </row>
    <row r="2266" spans="1:9" x14ac:dyDescent="0.25">
      <c r="A2266">
        <v>745</v>
      </c>
      <c r="B2266" s="1">
        <v>45564</v>
      </c>
      <c r="C2266">
        <v>230</v>
      </c>
      <c r="D2266">
        <v>9</v>
      </c>
      <c r="E2266">
        <v>5</v>
      </c>
      <c r="F2266">
        <v>5</v>
      </c>
      <c r="G2266" t="s">
        <v>1044</v>
      </c>
      <c r="H2266">
        <f>_xlfn.XLOOKUP(D2266, productos!$A$2:$A$150, productos!$D$2:$D$150, "No Encontrado", 0)</f>
        <v>18.559999999999999</v>
      </c>
      <c r="I2266">
        <f t="shared" si="35"/>
        <v>92.8</v>
      </c>
    </row>
    <row r="2267" spans="1:9" x14ac:dyDescent="0.25">
      <c r="A2267">
        <v>1199</v>
      </c>
      <c r="B2267" s="1">
        <v>45564</v>
      </c>
      <c r="C2267">
        <v>38</v>
      </c>
      <c r="D2267">
        <v>38</v>
      </c>
      <c r="E2267">
        <v>3</v>
      </c>
      <c r="F2267">
        <v>4</v>
      </c>
      <c r="G2267" t="s">
        <v>1044</v>
      </c>
      <c r="H2267">
        <f>_xlfn.XLOOKUP(D2267, productos!$A$2:$A$150, productos!$D$2:$D$150, "No Encontrado", 0)</f>
        <v>6.21</v>
      </c>
      <c r="I2267">
        <f t="shared" si="35"/>
        <v>18.63</v>
      </c>
    </row>
    <row r="2268" spans="1:9" x14ac:dyDescent="0.25">
      <c r="A2268">
        <v>1288</v>
      </c>
      <c r="B2268" s="1">
        <v>45564</v>
      </c>
      <c r="C2268">
        <v>53</v>
      </c>
      <c r="D2268">
        <v>32</v>
      </c>
      <c r="E2268">
        <v>3</v>
      </c>
      <c r="F2268">
        <v>2</v>
      </c>
      <c r="G2268" t="s">
        <v>1044</v>
      </c>
      <c r="H2268">
        <f>_xlfn.XLOOKUP(D2268, productos!$A$2:$A$150, productos!$D$2:$D$150, "No Encontrado", 0)</f>
        <v>6.25</v>
      </c>
      <c r="I2268">
        <f t="shared" si="35"/>
        <v>18.75</v>
      </c>
    </row>
    <row r="2269" spans="1:9" x14ac:dyDescent="0.25">
      <c r="A2269">
        <v>1311</v>
      </c>
      <c r="B2269" s="1">
        <v>45564</v>
      </c>
      <c r="C2269">
        <v>309</v>
      </c>
      <c r="D2269">
        <v>27</v>
      </c>
      <c r="E2269">
        <v>4</v>
      </c>
      <c r="F2269">
        <v>2</v>
      </c>
      <c r="G2269" t="s">
        <v>1044</v>
      </c>
      <c r="H2269">
        <f>_xlfn.XLOOKUP(D2269, productos!$A$2:$A$150, productos!$D$2:$D$150, "No Encontrado", 0)</f>
        <v>6.21</v>
      </c>
      <c r="I2269">
        <f t="shared" si="35"/>
        <v>24.84</v>
      </c>
    </row>
    <row r="2270" spans="1:9" x14ac:dyDescent="0.25">
      <c r="A2270">
        <v>2065</v>
      </c>
      <c r="B2270" s="1">
        <v>45564</v>
      </c>
      <c r="C2270">
        <v>202</v>
      </c>
      <c r="D2270">
        <v>16</v>
      </c>
      <c r="E2270">
        <v>3</v>
      </c>
      <c r="F2270">
        <v>5</v>
      </c>
      <c r="G2270" t="s">
        <v>1044</v>
      </c>
      <c r="H2270">
        <f>_xlfn.XLOOKUP(D2270, productos!$A$2:$A$150, productos!$D$2:$D$150, "No Encontrado", 0)</f>
        <v>15.23</v>
      </c>
      <c r="I2270">
        <f t="shared" si="35"/>
        <v>45.69</v>
      </c>
    </row>
    <row r="2271" spans="1:9" x14ac:dyDescent="0.25">
      <c r="A2271">
        <v>2102</v>
      </c>
      <c r="B2271" s="1">
        <v>45564</v>
      </c>
      <c r="C2271">
        <v>268</v>
      </c>
      <c r="D2271">
        <v>18</v>
      </c>
      <c r="E2271">
        <v>4</v>
      </c>
      <c r="F2271">
        <v>1</v>
      </c>
      <c r="G2271" t="s">
        <v>1044</v>
      </c>
      <c r="H2271">
        <f>_xlfn.XLOOKUP(D2271, productos!$A$2:$A$150, productos!$D$2:$D$150, "No Encontrado", 0)</f>
        <v>7.25</v>
      </c>
      <c r="I2271">
        <f t="shared" si="35"/>
        <v>29</v>
      </c>
    </row>
    <row r="2272" spans="1:9" x14ac:dyDescent="0.25">
      <c r="A2272">
        <v>2470</v>
      </c>
      <c r="B2272" s="1">
        <v>45564</v>
      </c>
      <c r="C2272">
        <v>85</v>
      </c>
      <c r="D2272">
        <v>24</v>
      </c>
      <c r="E2272">
        <v>2</v>
      </c>
      <c r="F2272">
        <v>4</v>
      </c>
      <c r="G2272" t="s">
        <v>1044</v>
      </c>
      <c r="H2272">
        <f>_xlfn.XLOOKUP(D2272, productos!$A$2:$A$150, productos!$D$2:$D$150, "No Encontrado", 0)</f>
        <v>13.54</v>
      </c>
      <c r="I2272">
        <f t="shared" si="35"/>
        <v>27.08</v>
      </c>
    </row>
    <row r="2273" spans="1:9" x14ac:dyDescent="0.25">
      <c r="A2273">
        <v>2765</v>
      </c>
      <c r="B2273" s="1">
        <v>45564</v>
      </c>
      <c r="C2273">
        <v>183</v>
      </c>
      <c r="D2273">
        <v>21</v>
      </c>
      <c r="E2273">
        <v>5</v>
      </c>
      <c r="F2273">
        <v>4</v>
      </c>
      <c r="G2273" t="s">
        <v>1044</v>
      </c>
      <c r="H2273">
        <f>_xlfn.XLOOKUP(D2273, productos!$A$2:$A$150, productos!$D$2:$D$150, "No Encontrado", 0)</f>
        <v>3.25</v>
      </c>
      <c r="I2273">
        <f t="shared" si="35"/>
        <v>16.25</v>
      </c>
    </row>
    <row r="2274" spans="1:9" x14ac:dyDescent="0.25">
      <c r="A2274">
        <v>2772</v>
      </c>
      <c r="B2274" s="1">
        <v>45564</v>
      </c>
      <c r="C2274">
        <v>56</v>
      </c>
      <c r="D2274">
        <v>33</v>
      </c>
      <c r="E2274">
        <v>3</v>
      </c>
      <c r="F2274">
        <v>5</v>
      </c>
      <c r="G2274" t="s">
        <v>1045</v>
      </c>
      <c r="H2274">
        <f>_xlfn.XLOOKUP(D2274, productos!$A$2:$A$150, productos!$D$2:$D$150, "No Encontrado", 0)</f>
        <v>8.5399999999999991</v>
      </c>
      <c r="I2274">
        <f t="shared" si="35"/>
        <v>25.619999999999997</v>
      </c>
    </row>
    <row r="2275" spans="1:9" x14ac:dyDescent="0.25">
      <c r="A2275">
        <v>2970</v>
      </c>
      <c r="B2275" s="1">
        <v>45564</v>
      </c>
      <c r="C2275">
        <v>135</v>
      </c>
      <c r="D2275">
        <v>3</v>
      </c>
      <c r="E2275">
        <v>4</v>
      </c>
      <c r="F2275">
        <v>4</v>
      </c>
      <c r="G2275" t="s">
        <v>1044</v>
      </c>
      <c r="H2275">
        <f>_xlfn.XLOOKUP(D2275, productos!$A$2:$A$150, productos!$D$2:$D$150, "No Encontrado", 0)</f>
        <v>17.23</v>
      </c>
      <c r="I2275">
        <f t="shared" si="35"/>
        <v>68.92</v>
      </c>
    </row>
    <row r="2276" spans="1:9" x14ac:dyDescent="0.25">
      <c r="A2276">
        <v>400</v>
      </c>
      <c r="B2276" s="1">
        <v>45565</v>
      </c>
      <c r="C2276">
        <v>167</v>
      </c>
      <c r="D2276">
        <v>35</v>
      </c>
      <c r="E2276">
        <v>2</v>
      </c>
      <c r="F2276">
        <v>1</v>
      </c>
      <c r="G2276" t="s">
        <v>1044</v>
      </c>
      <c r="H2276">
        <f>_xlfn.XLOOKUP(D2276, productos!$A$2:$A$150, productos!$D$2:$D$150, "No Encontrado", 0)</f>
        <v>4.25</v>
      </c>
      <c r="I2276">
        <f t="shared" si="35"/>
        <v>8.5</v>
      </c>
    </row>
    <row r="2277" spans="1:9" x14ac:dyDescent="0.25">
      <c r="A2277">
        <v>618</v>
      </c>
      <c r="B2277" s="1">
        <v>45565</v>
      </c>
      <c r="C2277">
        <v>31</v>
      </c>
      <c r="D2277">
        <v>37</v>
      </c>
      <c r="E2277">
        <v>3</v>
      </c>
      <c r="F2277">
        <v>5</v>
      </c>
      <c r="G2277" t="s">
        <v>1044</v>
      </c>
      <c r="H2277">
        <f>_xlfn.XLOOKUP(D2277, productos!$A$2:$A$150, productos!$D$2:$D$150, "No Encontrado", 0)</f>
        <v>3.65</v>
      </c>
      <c r="I2277">
        <f t="shared" si="35"/>
        <v>10.95</v>
      </c>
    </row>
    <row r="2278" spans="1:9" x14ac:dyDescent="0.25">
      <c r="A2278">
        <v>755</v>
      </c>
      <c r="B2278" s="1">
        <v>45565</v>
      </c>
      <c r="C2278">
        <v>109</v>
      </c>
      <c r="D2278">
        <v>5</v>
      </c>
      <c r="E2278">
        <v>6</v>
      </c>
      <c r="F2278">
        <v>5</v>
      </c>
      <c r="G2278" t="s">
        <v>1044</v>
      </c>
      <c r="H2278">
        <f>_xlfn.XLOOKUP(D2278, productos!$A$2:$A$150, productos!$D$2:$D$150, "No Encontrado", 0)</f>
        <v>5.65</v>
      </c>
      <c r="I2278">
        <f t="shared" si="35"/>
        <v>33.900000000000006</v>
      </c>
    </row>
    <row r="2279" spans="1:9" x14ac:dyDescent="0.25">
      <c r="A2279">
        <v>904</v>
      </c>
      <c r="B2279" s="1">
        <v>45565</v>
      </c>
      <c r="C2279">
        <v>76</v>
      </c>
      <c r="D2279">
        <v>16</v>
      </c>
      <c r="E2279">
        <v>3</v>
      </c>
      <c r="F2279">
        <v>3</v>
      </c>
      <c r="G2279" t="s">
        <v>1044</v>
      </c>
      <c r="H2279">
        <f>_xlfn.XLOOKUP(D2279, productos!$A$2:$A$150, productos!$D$2:$D$150, "No Encontrado", 0)</f>
        <v>15.23</v>
      </c>
      <c r="I2279">
        <f t="shared" si="35"/>
        <v>45.69</v>
      </c>
    </row>
    <row r="2280" spans="1:9" x14ac:dyDescent="0.25">
      <c r="A2280">
        <v>1120</v>
      </c>
      <c r="B2280" s="1">
        <v>45565</v>
      </c>
      <c r="C2280">
        <v>283</v>
      </c>
      <c r="D2280">
        <v>13</v>
      </c>
      <c r="E2280">
        <v>6</v>
      </c>
      <c r="F2280">
        <v>5</v>
      </c>
      <c r="G2280" t="s">
        <v>1044</v>
      </c>
      <c r="H2280">
        <f>_xlfn.XLOOKUP(D2280, productos!$A$2:$A$150, productos!$D$2:$D$150, "No Encontrado", 0)</f>
        <v>12.56</v>
      </c>
      <c r="I2280">
        <f t="shared" si="35"/>
        <v>75.36</v>
      </c>
    </row>
    <row r="2281" spans="1:9" x14ac:dyDescent="0.25">
      <c r="A2281">
        <v>1334</v>
      </c>
      <c r="B2281" s="1">
        <v>45565</v>
      </c>
      <c r="C2281">
        <v>158</v>
      </c>
      <c r="D2281">
        <v>33</v>
      </c>
      <c r="E2281">
        <v>1</v>
      </c>
      <c r="F2281">
        <v>5</v>
      </c>
      <c r="G2281" t="s">
        <v>1044</v>
      </c>
      <c r="H2281">
        <f>_xlfn.XLOOKUP(D2281, productos!$A$2:$A$150, productos!$D$2:$D$150, "No Encontrado", 0)</f>
        <v>8.5399999999999991</v>
      </c>
      <c r="I2281">
        <f t="shared" si="35"/>
        <v>8.5399999999999991</v>
      </c>
    </row>
    <row r="2282" spans="1:9" x14ac:dyDescent="0.25">
      <c r="A2282">
        <v>1539</v>
      </c>
      <c r="B2282" s="1">
        <v>45565</v>
      </c>
      <c r="C2282">
        <v>152</v>
      </c>
      <c r="D2282">
        <v>8</v>
      </c>
      <c r="E2282">
        <v>1</v>
      </c>
      <c r="F2282">
        <v>4</v>
      </c>
      <c r="G2282" t="s">
        <v>1044</v>
      </c>
      <c r="H2282">
        <f>_xlfn.XLOOKUP(D2282, productos!$A$2:$A$150, productos!$D$2:$D$150, "No Encontrado", 0)</f>
        <v>16.21</v>
      </c>
      <c r="I2282">
        <f t="shared" si="35"/>
        <v>16.21</v>
      </c>
    </row>
    <row r="2283" spans="1:9" x14ac:dyDescent="0.25">
      <c r="A2283">
        <v>1608</v>
      </c>
      <c r="B2283" s="1">
        <v>45565</v>
      </c>
      <c r="C2283">
        <v>78</v>
      </c>
      <c r="D2283">
        <v>11</v>
      </c>
      <c r="E2283">
        <v>1</v>
      </c>
      <c r="F2283">
        <v>5</v>
      </c>
      <c r="G2283" t="s">
        <v>1044</v>
      </c>
      <c r="H2283">
        <f>_xlfn.XLOOKUP(D2283, productos!$A$2:$A$150, productos!$D$2:$D$150, "No Encontrado", 0)</f>
        <v>11.23</v>
      </c>
      <c r="I2283">
        <f t="shared" si="35"/>
        <v>11.23</v>
      </c>
    </row>
    <row r="2284" spans="1:9" x14ac:dyDescent="0.25">
      <c r="A2284">
        <v>2089</v>
      </c>
      <c r="B2284" s="1">
        <v>45565</v>
      </c>
      <c r="C2284">
        <v>221</v>
      </c>
      <c r="D2284">
        <v>14</v>
      </c>
      <c r="E2284">
        <v>2</v>
      </c>
      <c r="F2284">
        <v>5</v>
      </c>
      <c r="G2284" t="s">
        <v>1045</v>
      </c>
      <c r="H2284">
        <f>_xlfn.XLOOKUP(D2284, productos!$A$2:$A$150, productos!$D$2:$D$150, "No Encontrado", 0)</f>
        <v>12.36</v>
      </c>
      <c r="I2284">
        <f t="shared" si="35"/>
        <v>24.72</v>
      </c>
    </row>
    <row r="2285" spans="1:9" x14ac:dyDescent="0.25">
      <c r="A2285">
        <v>2103</v>
      </c>
      <c r="B2285" s="1">
        <v>45565</v>
      </c>
      <c r="C2285">
        <v>78</v>
      </c>
      <c r="D2285">
        <v>5</v>
      </c>
      <c r="E2285">
        <v>4</v>
      </c>
      <c r="F2285">
        <v>3</v>
      </c>
      <c r="G2285" t="s">
        <v>1044</v>
      </c>
      <c r="H2285">
        <f>_xlfn.XLOOKUP(D2285, productos!$A$2:$A$150, productos!$D$2:$D$150, "No Encontrado", 0)</f>
        <v>5.65</v>
      </c>
      <c r="I2285">
        <f t="shared" si="35"/>
        <v>22.6</v>
      </c>
    </row>
    <row r="2286" spans="1:9" x14ac:dyDescent="0.25">
      <c r="A2286">
        <v>2392</v>
      </c>
      <c r="B2286" s="1">
        <v>45565</v>
      </c>
      <c r="C2286">
        <v>58</v>
      </c>
      <c r="D2286">
        <v>6</v>
      </c>
      <c r="E2286">
        <v>5</v>
      </c>
      <c r="F2286">
        <v>4</v>
      </c>
      <c r="G2286" t="s">
        <v>1044</v>
      </c>
      <c r="H2286">
        <f>_xlfn.XLOOKUP(D2286, productos!$A$2:$A$150, productos!$D$2:$D$150, "No Encontrado", 0)</f>
        <v>28.56</v>
      </c>
      <c r="I2286">
        <f t="shared" si="35"/>
        <v>142.79999999999998</v>
      </c>
    </row>
    <row r="2287" spans="1:9" x14ac:dyDescent="0.25">
      <c r="A2287">
        <v>2482</v>
      </c>
      <c r="B2287" s="1">
        <v>45565</v>
      </c>
      <c r="C2287">
        <v>82</v>
      </c>
      <c r="D2287">
        <v>4</v>
      </c>
      <c r="E2287">
        <v>2</v>
      </c>
      <c r="F2287">
        <v>5</v>
      </c>
      <c r="G2287" t="s">
        <v>1045</v>
      </c>
      <c r="H2287">
        <f>_xlfn.XLOOKUP(D2287, productos!$A$2:$A$150, productos!$D$2:$D$150, "No Encontrado", 0)</f>
        <v>19.23</v>
      </c>
      <c r="I2287">
        <f t="shared" si="35"/>
        <v>38.46</v>
      </c>
    </row>
    <row r="2288" spans="1:9" x14ac:dyDescent="0.25">
      <c r="A2288">
        <v>2613</v>
      </c>
      <c r="B2288" s="1">
        <v>45565</v>
      </c>
      <c r="C2288">
        <v>251</v>
      </c>
      <c r="D2288">
        <v>26</v>
      </c>
      <c r="E2288">
        <v>3</v>
      </c>
      <c r="F2288">
        <v>1</v>
      </c>
      <c r="G2288" t="s">
        <v>1045</v>
      </c>
      <c r="H2288">
        <f>_xlfn.XLOOKUP(D2288, productos!$A$2:$A$150, productos!$D$2:$D$150, "No Encontrado", 0)</f>
        <v>9.5399999999999991</v>
      </c>
      <c r="I2288">
        <f t="shared" si="35"/>
        <v>28.619999999999997</v>
      </c>
    </row>
    <row r="2289" spans="1:9" x14ac:dyDescent="0.25">
      <c r="A2289">
        <v>2864</v>
      </c>
      <c r="B2289" s="1">
        <v>45565</v>
      </c>
      <c r="C2289">
        <v>28</v>
      </c>
      <c r="D2289">
        <v>36</v>
      </c>
      <c r="E2289">
        <v>4</v>
      </c>
      <c r="F2289">
        <v>3</v>
      </c>
      <c r="G2289" t="s">
        <v>1045</v>
      </c>
      <c r="H2289">
        <f>_xlfn.XLOOKUP(D2289, productos!$A$2:$A$150, productos!$D$2:$D$150, "No Encontrado", 0)</f>
        <v>3.25</v>
      </c>
      <c r="I2289">
        <f t="shared" si="35"/>
        <v>13</v>
      </c>
    </row>
    <row r="2290" spans="1:9" x14ac:dyDescent="0.25">
      <c r="A2290">
        <v>2876</v>
      </c>
      <c r="B2290" s="1">
        <v>45565</v>
      </c>
      <c r="C2290">
        <v>162</v>
      </c>
      <c r="D2290">
        <v>13</v>
      </c>
      <c r="E2290">
        <v>3</v>
      </c>
      <c r="F2290">
        <v>1</v>
      </c>
      <c r="G2290" t="s">
        <v>1044</v>
      </c>
      <c r="H2290">
        <f>_xlfn.XLOOKUP(D2290, productos!$A$2:$A$150, productos!$D$2:$D$150, "No Encontrado", 0)</f>
        <v>12.56</v>
      </c>
      <c r="I2290">
        <f t="shared" si="35"/>
        <v>37.68</v>
      </c>
    </row>
    <row r="2291" spans="1:9" x14ac:dyDescent="0.25">
      <c r="A2291">
        <v>714</v>
      </c>
      <c r="B2291" s="1">
        <v>45566</v>
      </c>
      <c r="C2291">
        <v>237</v>
      </c>
      <c r="D2291">
        <v>16</v>
      </c>
      <c r="E2291">
        <v>2</v>
      </c>
      <c r="F2291">
        <v>5</v>
      </c>
      <c r="G2291" t="s">
        <v>1044</v>
      </c>
      <c r="H2291">
        <f>_xlfn.XLOOKUP(D2291, productos!$A$2:$A$150, productos!$D$2:$D$150, "No Encontrado", 0)</f>
        <v>15.23</v>
      </c>
      <c r="I2291">
        <f t="shared" si="35"/>
        <v>30.46</v>
      </c>
    </row>
    <row r="2292" spans="1:9" x14ac:dyDescent="0.25">
      <c r="A2292">
        <v>753</v>
      </c>
      <c r="B2292" s="1">
        <v>45566</v>
      </c>
      <c r="C2292">
        <v>99</v>
      </c>
      <c r="D2292">
        <v>11</v>
      </c>
      <c r="E2292">
        <v>3</v>
      </c>
      <c r="F2292">
        <v>2</v>
      </c>
      <c r="G2292" t="s">
        <v>1044</v>
      </c>
      <c r="H2292">
        <f>_xlfn.XLOOKUP(D2292, productos!$A$2:$A$150, productos!$D$2:$D$150, "No Encontrado", 0)</f>
        <v>11.23</v>
      </c>
      <c r="I2292">
        <f t="shared" si="35"/>
        <v>33.69</v>
      </c>
    </row>
    <row r="2293" spans="1:9" x14ac:dyDescent="0.25">
      <c r="A2293">
        <v>2617</v>
      </c>
      <c r="B2293" s="1">
        <v>45566</v>
      </c>
      <c r="C2293">
        <v>63</v>
      </c>
      <c r="D2293">
        <v>35</v>
      </c>
      <c r="E2293">
        <v>2</v>
      </c>
      <c r="F2293">
        <v>5</v>
      </c>
      <c r="G2293" t="s">
        <v>1044</v>
      </c>
      <c r="H2293">
        <f>_xlfn.XLOOKUP(D2293, productos!$A$2:$A$150, productos!$D$2:$D$150, "No Encontrado", 0)</f>
        <v>4.25</v>
      </c>
      <c r="I2293">
        <f t="shared" si="35"/>
        <v>8.5</v>
      </c>
    </row>
    <row r="2294" spans="1:9" x14ac:dyDescent="0.25">
      <c r="A2294">
        <v>2638</v>
      </c>
      <c r="B2294" s="1">
        <v>45566</v>
      </c>
      <c r="C2294">
        <v>91</v>
      </c>
      <c r="D2294">
        <v>24</v>
      </c>
      <c r="E2294">
        <v>4</v>
      </c>
      <c r="F2294">
        <v>4</v>
      </c>
      <c r="G2294" t="s">
        <v>1044</v>
      </c>
      <c r="H2294">
        <f>_xlfn.XLOOKUP(D2294, productos!$A$2:$A$150, productos!$D$2:$D$150, "No Encontrado", 0)</f>
        <v>13.54</v>
      </c>
      <c r="I2294">
        <f t="shared" si="35"/>
        <v>54.16</v>
      </c>
    </row>
    <row r="2295" spans="1:9" x14ac:dyDescent="0.25">
      <c r="A2295">
        <v>2757</v>
      </c>
      <c r="B2295" s="1">
        <v>45566</v>
      </c>
      <c r="C2295">
        <v>35</v>
      </c>
      <c r="D2295">
        <v>27</v>
      </c>
      <c r="E2295">
        <v>5</v>
      </c>
      <c r="F2295">
        <v>4</v>
      </c>
      <c r="G2295" t="s">
        <v>1044</v>
      </c>
      <c r="H2295">
        <f>_xlfn.XLOOKUP(D2295, productos!$A$2:$A$150, productos!$D$2:$D$150, "No Encontrado", 0)</f>
        <v>6.21</v>
      </c>
      <c r="I2295">
        <f t="shared" si="35"/>
        <v>31.05</v>
      </c>
    </row>
    <row r="2296" spans="1:9" x14ac:dyDescent="0.25">
      <c r="A2296">
        <v>517</v>
      </c>
      <c r="B2296" s="1">
        <v>45567</v>
      </c>
      <c r="C2296">
        <v>307</v>
      </c>
      <c r="D2296">
        <v>38</v>
      </c>
      <c r="E2296">
        <v>5</v>
      </c>
      <c r="F2296">
        <v>2</v>
      </c>
      <c r="G2296" t="s">
        <v>1044</v>
      </c>
      <c r="H2296">
        <f>_xlfn.XLOOKUP(D2296, productos!$A$2:$A$150, productos!$D$2:$D$150, "No Encontrado", 0)</f>
        <v>6.21</v>
      </c>
      <c r="I2296">
        <f t="shared" si="35"/>
        <v>31.05</v>
      </c>
    </row>
    <row r="2297" spans="1:9" x14ac:dyDescent="0.25">
      <c r="A2297">
        <v>901</v>
      </c>
      <c r="B2297" s="1">
        <v>45567</v>
      </c>
      <c r="C2297">
        <v>325</v>
      </c>
      <c r="D2297">
        <v>37</v>
      </c>
      <c r="E2297">
        <v>4</v>
      </c>
      <c r="F2297">
        <v>4</v>
      </c>
      <c r="G2297" t="s">
        <v>1044</v>
      </c>
      <c r="H2297">
        <f>_xlfn.XLOOKUP(D2297, productos!$A$2:$A$150, productos!$D$2:$D$150, "No Encontrado", 0)</f>
        <v>3.65</v>
      </c>
      <c r="I2297">
        <f t="shared" si="35"/>
        <v>14.6</v>
      </c>
    </row>
    <row r="2298" spans="1:9" x14ac:dyDescent="0.25">
      <c r="A2298">
        <v>1006</v>
      </c>
      <c r="B2298" s="1">
        <v>45567</v>
      </c>
      <c r="C2298">
        <v>281</v>
      </c>
      <c r="D2298">
        <v>23</v>
      </c>
      <c r="E2298">
        <v>6</v>
      </c>
      <c r="F2298">
        <v>5</v>
      </c>
      <c r="G2298" t="s">
        <v>1044</v>
      </c>
      <c r="H2298">
        <f>_xlfn.XLOOKUP(D2298, productos!$A$2:$A$150, productos!$D$2:$D$150, "No Encontrado", 0)</f>
        <v>8.23</v>
      </c>
      <c r="I2298">
        <f t="shared" si="35"/>
        <v>49.38</v>
      </c>
    </row>
    <row r="2299" spans="1:9" x14ac:dyDescent="0.25">
      <c r="A2299">
        <v>1116</v>
      </c>
      <c r="B2299" s="1">
        <v>45567</v>
      </c>
      <c r="C2299">
        <v>266</v>
      </c>
      <c r="D2299">
        <v>10</v>
      </c>
      <c r="E2299">
        <v>4</v>
      </c>
      <c r="F2299">
        <v>1</v>
      </c>
      <c r="G2299" t="s">
        <v>1044</v>
      </c>
      <c r="H2299">
        <f>_xlfn.XLOOKUP(D2299, productos!$A$2:$A$150, productos!$D$2:$D$150, "No Encontrado", 0)</f>
        <v>14.25</v>
      </c>
      <c r="I2299">
        <f t="shared" si="35"/>
        <v>57</v>
      </c>
    </row>
    <row r="2300" spans="1:9" x14ac:dyDescent="0.25">
      <c r="A2300">
        <v>1295</v>
      </c>
      <c r="B2300" s="1">
        <v>45567</v>
      </c>
      <c r="C2300">
        <v>208</v>
      </c>
      <c r="D2300">
        <v>17</v>
      </c>
      <c r="E2300">
        <v>1</v>
      </c>
      <c r="F2300">
        <v>4</v>
      </c>
      <c r="G2300" t="s">
        <v>1045</v>
      </c>
      <c r="H2300">
        <f>_xlfn.XLOOKUP(D2300, productos!$A$2:$A$150, productos!$D$2:$D$150, "No Encontrado", 0)</f>
        <v>6.54</v>
      </c>
      <c r="I2300">
        <f t="shared" si="35"/>
        <v>6.54</v>
      </c>
    </row>
    <row r="2301" spans="1:9" x14ac:dyDescent="0.25">
      <c r="A2301">
        <v>2119</v>
      </c>
      <c r="B2301" s="1">
        <v>45567</v>
      </c>
      <c r="C2301">
        <v>296</v>
      </c>
      <c r="D2301">
        <v>8</v>
      </c>
      <c r="E2301">
        <v>1</v>
      </c>
      <c r="F2301">
        <v>4</v>
      </c>
      <c r="G2301" t="s">
        <v>1044</v>
      </c>
      <c r="H2301">
        <f>_xlfn.XLOOKUP(D2301, productos!$A$2:$A$150, productos!$D$2:$D$150, "No Encontrado", 0)</f>
        <v>16.21</v>
      </c>
      <c r="I2301">
        <f t="shared" si="35"/>
        <v>16.21</v>
      </c>
    </row>
    <row r="2302" spans="1:9" x14ac:dyDescent="0.25">
      <c r="A2302">
        <v>2510</v>
      </c>
      <c r="B2302" s="1">
        <v>45567</v>
      </c>
      <c r="C2302">
        <v>294</v>
      </c>
      <c r="D2302">
        <v>31</v>
      </c>
      <c r="E2302">
        <v>4</v>
      </c>
      <c r="F2302">
        <v>4</v>
      </c>
      <c r="G2302" t="s">
        <v>1044</v>
      </c>
      <c r="H2302">
        <f>_xlfn.XLOOKUP(D2302, productos!$A$2:$A$150, productos!$D$2:$D$150, "No Encontrado", 0)</f>
        <v>5.24</v>
      </c>
      <c r="I2302">
        <f t="shared" si="35"/>
        <v>20.96</v>
      </c>
    </row>
    <row r="2303" spans="1:9" x14ac:dyDescent="0.25">
      <c r="A2303">
        <v>525</v>
      </c>
      <c r="B2303" s="1">
        <v>45568</v>
      </c>
      <c r="C2303">
        <v>311</v>
      </c>
      <c r="D2303">
        <v>34</v>
      </c>
      <c r="E2303">
        <v>4</v>
      </c>
      <c r="F2303">
        <v>4</v>
      </c>
      <c r="G2303" t="s">
        <v>1044</v>
      </c>
      <c r="H2303">
        <f>_xlfn.XLOOKUP(D2303, productos!$A$2:$A$150, productos!$D$2:$D$150, "No Encontrado", 0)</f>
        <v>5.45</v>
      </c>
      <c r="I2303">
        <f t="shared" si="35"/>
        <v>21.8</v>
      </c>
    </row>
    <row r="2304" spans="1:9" x14ac:dyDescent="0.25">
      <c r="A2304">
        <v>828</v>
      </c>
      <c r="B2304" s="1">
        <v>45568</v>
      </c>
      <c r="C2304">
        <v>29</v>
      </c>
      <c r="D2304">
        <v>26</v>
      </c>
      <c r="E2304">
        <v>6</v>
      </c>
      <c r="F2304">
        <v>3</v>
      </c>
      <c r="G2304" t="s">
        <v>1044</v>
      </c>
      <c r="H2304">
        <f>_xlfn.XLOOKUP(D2304, productos!$A$2:$A$150, productos!$D$2:$D$150, "No Encontrado", 0)</f>
        <v>9.5399999999999991</v>
      </c>
      <c r="I2304">
        <f t="shared" si="35"/>
        <v>57.239999999999995</v>
      </c>
    </row>
    <row r="2305" spans="1:9" x14ac:dyDescent="0.25">
      <c r="A2305">
        <v>1223</v>
      </c>
      <c r="B2305" s="1">
        <v>45568</v>
      </c>
      <c r="C2305">
        <v>104</v>
      </c>
      <c r="D2305">
        <v>15</v>
      </c>
      <c r="E2305">
        <v>6</v>
      </c>
      <c r="F2305">
        <v>3</v>
      </c>
      <c r="G2305" t="s">
        <v>1044</v>
      </c>
      <c r="H2305">
        <f>_xlfn.XLOOKUP(D2305, productos!$A$2:$A$150, productos!$D$2:$D$150, "No Encontrado", 0)</f>
        <v>3.51</v>
      </c>
      <c r="I2305">
        <f t="shared" si="35"/>
        <v>21.06</v>
      </c>
    </row>
    <row r="2306" spans="1:9" x14ac:dyDescent="0.25">
      <c r="A2306">
        <v>1570</v>
      </c>
      <c r="B2306" s="1">
        <v>45568</v>
      </c>
      <c r="C2306">
        <v>78</v>
      </c>
      <c r="D2306">
        <v>37</v>
      </c>
      <c r="E2306">
        <v>6</v>
      </c>
      <c r="F2306">
        <v>3</v>
      </c>
      <c r="G2306" t="s">
        <v>1044</v>
      </c>
      <c r="H2306">
        <f>_xlfn.XLOOKUP(D2306, productos!$A$2:$A$150, productos!$D$2:$D$150, "No Encontrado", 0)</f>
        <v>3.65</v>
      </c>
      <c r="I2306">
        <f t="shared" si="35"/>
        <v>21.9</v>
      </c>
    </row>
    <row r="2307" spans="1:9" x14ac:dyDescent="0.25">
      <c r="A2307">
        <v>1619</v>
      </c>
      <c r="B2307" s="1">
        <v>45568</v>
      </c>
      <c r="C2307">
        <v>236</v>
      </c>
      <c r="D2307">
        <v>13</v>
      </c>
      <c r="E2307">
        <v>1</v>
      </c>
      <c r="F2307">
        <v>2</v>
      </c>
      <c r="G2307" t="s">
        <v>1044</v>
      </c>
      <c r="H2307">
        <f>_xlfn.XLOOKUP(D2307, productos!$A$2:$A$150, productos!$D$2:$D$150, "No Encontrado", 0)</f>
        <v>12.56</v>
      </c>
      <c r="I2307">
        <f t="shared" ref="I2307:I2370" si="36">E2307*H2307</f>
        <v>12.56</v>
      </c>
    </row>
    <row r="2308" spans="1:9" x14ac:dyDescent="0.25">
      <c r="A2308">
        <v>1997</v>
      </c>
      <c r="B2308" s="1">
        <v>45568</v>
      </c>
      <c r="C2308">
        <v>246</v>
      </c>
      <c r="D2308">
        <v>2</v>
      </c>
      <c r="E2308">
        <v>1</v>
      </c>
      <c r="F2308">
        <v>3</v>
      </c>
      <c r="G2308" t="s">
        <v>1044</v>
      </c>
      <c r="H2308">
        <f>_xlfn.XLOOKUP(D2308, productos!$A$2:$A$150, productos!$D$2:$D$150, "No Encontrado", 0)</f>
        <v>5.21</v>
      </c>
      <c r="I2308">
        <f t="shared" si="36"/>
        <v>5.21</v>
      </c>
    </row>
    <row r="2309" spans="1:9" x14ac:dyDescent="0.25">
      <c r="A2309">
        <v>2029</v>
      </c>
      <c r="B2309" s="1">
        <v>45568</v>
      </c>
      <c r="C2309">
        <v>129</v>
      </c>
      <c r="D2309">
        <v>6</v>
      </c>
      <c r="E2309">
        <v>6</v>
      </c>
      <c r="F2309">
        <v>5</v>
      </c>
      <c r="G2309" t="s">
        <v>1044</v>
      </c>
      <c r="H2309">
        <f>_xlfn.XLOOKUP(D2309, productos!$A$2:$A$150, productos!$D$2:$D$150, "No Encontrado", 0)</f>
        <v>28.56</v>
      </c>
      <c r="I2309">
        <f t="shared" si="36"/>
        <v>171.35999999999999</v>
      </c>
    </row>
    <row r="2310" spans="1:9" x14ac:dyDescent="0.25">
      <c r="A2310">
        <v>2041</v>
      </c>
      <c r="B2310" s="1">
        <v>45568</v>
      </c>
      <c r="C2310">
        <v>219</v>
      </c>
      <c r="D2310">
        <v>28</v>
      </c>
      <c r="E2310">
        <v>5</v>
      </c>
      <c r="F2310">
        <v>5</v>
      </c>
      <c r="G2310" t="s">
        <v>1044</v>
      </c>
      <c r="H2310">
        <f>_xlfn.XLOOKUP(D2310, productos!$A$2:$A$150, productos!$D$2:$D$150, "No Encontrado", 0)</f>
        <v>9.4499999999999993</v>
      </c>
      <c r="I2310">
        <f t="shared" si="36"/>
        <v>47.25</v>
      </c>
    </row>
    <row r="2311" spans="1:9" x14ac:dyDescent="0.25">
      <c r="A2311">
        <v>2246</v>
      </c>
      <c r="B2311" s="1">
        <v>45568</v>
      </c>
      <c r="C2311">
        <v>59</v>
      </c>
      <c r="D2311">
        <v>22</v>
      </c>
      <c r="E2311">
        <v>3</v>
      </c>
      <c r="F2311">
        <v>2</v>
      </c>
      <c r="G2311" t="s">
        <v>1044</v>
      </c>
      <c r="H2311">
        <f>_xlfn.XLOOKUP(D2311, productos!$A$2:$A$150, productos!$D$2:$D$150, "No Encontrado", 0)</f>
        <v>4.21</v>
      </c>
      <c r="I2311">
        <f t="shared" si="36"/>
        <v>12.629999999999999</v>
      </c>
    </row>
    <row r="2312" spans="1:9" x14ac:dyDescent="0.25">
      <c r="A2312">
        <v>2461</v>
      </c>
      <c r="B2312" s="1">
        <v>45568</v>
      </c>
      <c r="C2312">
        <v>185</v>
      </c>
      <c r="D2312">
        <v>20</v>
      </c>
      <c r="E2312">
        <v>5</v>
      </c>
      <c r="F2312">
        <v>5</v>
      </c>
      <c r="G2312" t="s">
        <v>1044</v>
      </c>
      <c r="H2312">
        <f>_xlfn.XLOOKUP(D2312, productos!$A$2:$A$150, productos!$D$2:$D$150, "No Encontrado", 0)</f>
        <v>4.25</v>
      </c>
      <c r="I2312">
        <f t="shared" si="36"/>
        <v>21.25</v>
      </c>
    </row>
    <row r="2313" spans="1:9" x14ac:dyDescent="0.25">
      <c r="A2313">
        <v>2548</v>
      </c>
      <c r="B2313" s="1">
        <v>45568</v>
      </c>
      <c r="C2313">
        <v>206</v>
      </c>
      <c r="D2313">
        <v>27</v>
      </c>
      <c r="E2313">
        <v>6</v>
      </c>
      <c r="F2313">
        <v>2</v>
      </c>
      <c r="G2313" t="s">
        <v>1044</v>
      </c>
      <c r="H2313">
        <f>_xlfn.XLOOKUP(D2313, productos!$A$2:$A$150, productos!$D$2:$D$150, "No Encontrado", 0)</f>
        <v>6.21</v>
      </c>
      <c r="I2313">
        <f t="shared" si="36"/>
        <v>37.26</v>
      </c>
    </row>
    <row r="2314" spans="1:9" x14ac:dyDescent="0.25">
      <c r="A2314">
        <v>2558</v>
      </c>
      <c r="B2314" s="1">
        <v>45568</v>
      </c>
      <c r="C2314">
        <v>177</v>
      </c>
      <c r="D2314">
        <v>25</v>
      </c>
      <c r="E2314">
        <v>6</v>
      </c>
      <c r="F2314">
        <v>4</v>
      </c>
      <c r="G2314" t="s">
        <v>1044</v>
      </c>
      <c r="H2314">
        <f>_xlfn.XLOOKUP(D2314, productos!$A$2:$A$150, productos!$D$2:$D$150, "No Encontrado", 0)</f>
        <v>15.45</v>
      </c>
      <c r="I2314">
        <f t="shared" si="36"/>
        <v>92.699999999999989</v>
      </c>
    </row>
    <row r="2315" spans="1:9" x14ac:dyDescent="0.25">
      <c r="A2315">
        <v>2616</v>
      </c>
      <c r="B2315" s="1">
        <v>45568</v>
      </c>
      <c r="C2315">
        <v>272</v>
      </c>
      <c r="D2315">
        <v>9</v>
      </c>
      <c r="E2315">
        <v>3</v>
      </c>
      <c r="F2315">
        <v>1</v>
      </c>
      <c r="G2315" t="s">
        <v>1045</v>
      </c>
      <c r="H2315">
        <f>_xlfn.XLOOKUP(D2315, productos!$A$2:$A$150, productos!$D$2:$D$150, "No Encontrado", 0)</f>
        <v>18.559999999999999</v>
      </c>
      <c r="I2315">
        <f t="shared" si="36"/>
        <v>55.679999999999993</v>
      </c>
    </row>
    <row r="2316" spans="1:9" x14ac:dyDescent="0.25">
      <c r="A2316">
        <v>2724</v>
      </c>
      <c r="B2316" s="1">
        <v>45568</v>
      </c>
      <c r="C2316">
        <v>302</v>
      </c>
      <c r="D2316">
        <v>3</v>
      </c>
      <c r="E2316">
        <v>1</v>
      </c>
      <c r="F2316">
        <v>1</v>
      </c>
      <c r="G2316" t="s">
        <v>1044</v>
      </c>
      <c r="H2316">
        <f>_xlfn.XLOOKUP(D2316, productos!$A$2:$A$150, productos!$D$2:$D$150, "No Encontrado", 0)</f>
        <v>17.23</v>
      </c>
      <c r="I2316">
        <f t="shared" si="36"/>
        <v>17.23</v>
      </c>
    </row>
    <row r="2317" spans="1:9" x14ac:dyDescent="0.25">
      <c r="A2317">
        <v>649</v>
      </c>
      <c r="B2317" s="1">
        <v>45569</v>
      </c>
      <c r="C2317">
        <v>128</v>
      </c>
      <c r="D2317">
        <v>14</v>
      </c>
      <c r="E2317">
        <v>4</v>
      </c>
      <c r="F2317">
        <v>3</v>
      </c>
      <c r="G2317" t="s">
        <v>1044</v>
      </c>
      <c r="H2317">
        <f>_xlfn.XLOOKUP(D2317, productos!$A$2:$A$150, productos!$D$2:$D$150, "No Encontrado", 0)</f>
        <v>12.36</v>
      </c>
      <c r="I2317">
        <f t="shared" si="36"/>
        <v>49.44</v>
      </c>
    </row>
    <row r="2318" spans="1:9" x14ac:dyDescent="0.25">
      <c r="A2318">
        <v>664</v>
      </c>
      <c r="B2318" s="1">
        <v>45569</v>
      </c>
      <c r="C2318">
        <v>264</v>
      </c>
      <c r="D2318">
        <v>33</v>
      </c>
      <c r="E2318">
        <v>3</v>
      </c>
      <c r="F2318">
        <v>5</v>
      </c>
      <c r="G2318" t="s">
        <v>1044</v>
      </c>
      <c r="H2318">
        <f>_xlfn.XLOOKUP(D2318, productos!$A$2:$A$150, productos!$D$2:$D$150, "No Encontrado", 0)</f>
        <v>8.5399999999999991</v>
      </c>
      <c r="I2318">
        <f t="shared" si="36"/>
        <v>25.619999999999997</v>
      </c>
    </row>
    <row r="2319" spans="1:9" x14ac:dyDescent="0.25">
      <c r="A2319">
        <v>1435</v>
      </c>
      <c r="B2319" s="1">
        <v>45569</v>
      </c>
      <c r="C2319">
        <v>52</v>
      </c>
      <c r="D2319">
        <v>31</v>
      </c>
      <c r="E2319">
        <v>5</v>
      </c>
      <c r="F2319">
        <v>4</v>
      </c>
      <c r="G2319" t="s">
        <v>1046</v>
      </c>
      <c r="H2319">
        <f>_xlfn.XLOOKUP(D2319, productos!$A$2:$A$150, productos!$D$2:$D$150, "No Encontrado", 0)</f>
        <v>5.24</v>
      </c>
      <c r="I2319">
        <f t="shared" si="36"/>
        <v>26.200000000000003</v>
      </c>
    </row>
    <row r="2320" spans="1:9" x14ac:dyDescent="0.25">
      <c r="A2320">
        <v>2037</v>
      </c>
      <c r="B2320" s="1">
        <v>45569</v>
      </c>
      <c r="C2320">
        <v>296</v>
      </c>
      <c r="D2320">
        <v>32</v>
      </c>
      <c r="E2320">
        <v>3</v>
      </c>
      <c r="F2320">
        <v>4</v>
      </c>
      <c r="G2320" t="s">
        <v>1044</v>
      </c>
      <c r="H2320">
        <f>_xlfn.XLOOKUP(D2320, productos!$A$2:$A$150, productos!$D$2:$D$150, "No Encontrado", 0)</f>
        <v>6.25</v>
      </c>
      <c r="I2320">
        <f t="shared" si="36"/>
        <v>18.75</v>
      </c>
    </row>
    <row r="2321" spans="1:9" x14ac:dyDescent="0.25">
      <c r="A2321">
        <v>2071</v>
      </c>
      <c r="B2321" s="1">
        <v>45569</v>
      </c>
      <c r="C2321">
        <v>122</v>
      </c>
      <c r="D2321">
        <v>31</v>
      </c>
      <c r="E2321">
        <v>1</v>
      </c>
      <c r="F2321">
        <v>2</v>
      </c>
      <c r="G2321" t="s">
        <v>1045</v>
      </c>
      <c r="H2321">
        <f>_xlfn.XLOOKUP(D2321, productos!$A$2:$A$150, productos!$D$2:$D$150, "No Encontrado", 0)</f>
        <v>5.24</v>
      </c>
      <c r="I2321">
        <f t="shared" si="36"/>
        <v>5.24</v>
      </c>
    </row>
    <row r="2322" spans="1:9" x14ac:dyDescent="0.25">
      <c r="A2322">
        <v>2202</v>
      </c>
      <c r="B2322" s="1">
        <v>45569</v>
      </c>
      <c r="C2322">
        <v>276</v>
      </c>
      <c r="D2322">
        <v>6</v>
      </c>
      <c r="E2322">
        <v>5</v>
      </c>
      <c r="F2322">
        <v>5</v>
      </c>
      <c r="G2322" t="s">
        <v>1044</v>
      </c>
      <c r="H2322">
        <f>_xlfn.XLOOKUP(D2322, productos!$A$2:$A$150, productos!$D$2:$D$150, "No Encontrado", 0)</f>
        <v>28.56</v>
      </c>
      <c r="I2322">
        <f t="shared" si="36"/>
        <v>142.79999999999998</v>
      </c>
    </row>
    <row r="2323" spans="1:9" x14ac:dyDescent="0.25">
      <c r="A2323">
        <v>2521</v>
      </c>
      <c r="B2323" s="1">
        <v>45569</v>
      </c>
      <c r="C2323">
        <v>20</v>
      </c>
      <c r="D2323">
        <v>35</v>
      </c>
      <c r="E2323">
        <v>4</v>
      </c>
      <c r="F2323">
        <v>3</v>
      </c>
      <c r="G2323" t="s">
        <v>1044</v>
      </c>
      <c r="H2323">
        <f>_xlfn.XLOOKUP(D2323, productos!$A$2:$A$150, productos!$D$2:$D$150, "No Encontrado", 0)</f>
        <v>4.25</v>
      </c>
      <c r="I2323">
        <f t="shared" si="36"/>
        <v>17</v>
      </c>
    </row>
    <row r="2324" spans="1:9" x14ac:dyDescent="0.25">
      <c r="A2324">
        <v>543</v>
      </c>
      <c r="B2324" s="1">
        <v>45570</v>
      </c>
      <c r="C2324">
        <v>162</v>
      </c>
      <c r="D2324">
        <v>8</v>
      </c>
      <c r="E2324">
        <v>1</v>
      </c>
      <c r="F2324">
        <v>5</v>
      </c>
      <c r="G2324" t="s">
        <v>1044</v>
      </c>
      <c r="H2324">
        <f>_xlfn.XLOOKUP(D2324, productos!$A$2:$A$150, productos!$D$2:$D$150, "No Encontrado", 0)</f>
        <v>16.21</v>
      </c>
      <c r="I2324">
        <f t="shared" si="36"/>
        <v>16.21</v>
      </c>
    </row>
    <row r="2325" spans="1:9" x14ac:dyDescent="0.25">
      <c r="A2325">
        <v>722</v>
      </c>
      <c r="B2325" s="1">
        <v>45570</v>
      </c>
      <c r="C2325">
        <v>136</v>
      </c>
      <c r="D2325">
        <v>31</v>
      </c>
      <c r="E2325">
        <v>5</v>
      </c>
      <c r="F2325">
        <v>4</v>
      </c>
      <c r="G2325" t="s">
        <v>1044</v>
      </c>
      <c r="H2325">
        <f>_xlfn.XLOOKUP(D2325, productos!$A$2:$A$150, productos!$D$2:$D$150, "No Encontrado", 0)</f>
        <v>5.24</v>
      </c>
      <c r="I2325">
        <f t="shared" si="36"/>
        <v>26.200000000000003</v>
      </c>
    </row>
    <row r="2326" spans="1:9" x14ac:dyDescent="0.25">
      <c r="A2326">
        <v>772</v>
      </c>
      <c r="B2326" s="1">
        <v>45570</v>
      </c>
      <c r="C2326">
        <v>141</v>
      </c>
      <c r="D2326">
        <v>2</v>
      </c>
      <c r="E2326">
        <v>6</v>
      </c>
      <c r="F2326">
        <v>3</v>
      </c>
      <c r="G2326" t="s">
        <v>1044</v>
      </c>
      <c r="H2326">
        <f>_xlfn.XLOOKUP(D2326, productos!$A$2:$A$150, productos!$D$2:$D$150, "No Encontrado", 0)</f>
        <v>5.21</v>
      </c>
      <c r="I2326">
        <f t="shared" si="36"/>
        <v>31.259999999999998</v>
      </c>
    </row>
    <row r="2327" spans="1:9" x14ac:dyDescent="0.25">
      <c r="A2327">
        <v>794</v>
      </c>
      <c r="B2327" s="1">
        <v>45570</v>
      </c>
      <c r="C2327">
        <v>302</v>
      </c>
      <c r="D2327">
        <v>28</v>
      </c>
      <c r="E2327">
        <v>4</v>
      </c>
      <c r="F2327">
        <v>3</v>
      </c>
      <c r="G2327" t="s">
        <v>1044</v>
      </c>
      <c r="H2327">
        <f>_xlfn.XLOOKUP(D2327, productos!$A$2:$A$150, productos!$D$2:$D$150, "No Encontrado", 0)</f>
        <v>9.4499999999999993</v>
      </c>
      <c r="I2327">
        <f t="shared" si="36"/>
        <v>37.799999999999997</v>
      </c>
    </row>
    <row r="2328" spans="1:9" x14ac:dyDescent="0.25">
      <c r="A2328">
        <v>1138</v>
      </c>
      <c r="B2328" s="1">
        <v>45570</v>
      </c>
      <c r="C2328">
        <v>123</v>
      </c>
      <c r="D2328">
        <v>22</v>
      </c>
      <c r="E2328">
        <v>2</v>
      </c>
      <c r="F2328">
        <v>2</v>
      </c>
      <c r="G2328" t="s">
        <v>1044</v>
      </c>
      <c r="H2328">
        <f>_xlfn.XLOOKUP(D2328, productos!$A$2:$A$150, productos!$D$2:$D$150, "No Encontrado", 0)</f>
        <v>4.21</v>
      </c>
      <c r="I2328">
        <f t="shared" si="36"/>
        <v>8.42</v>
      </c>
    </row>
    <row r="2329" spans="1:9" x14ac:dyDescent="0.25">
      <c r="A2329">
        <v>1227</v>
      </c>
      <c r="B2329" s="1">
        <v>45570</v>
      </c>
      <c r="C2329">
        <v>290</v>
      </c>
      <c r="D2329">
        <v>27</v>
      </c>
      <c r="E2329">
        <v>3</v>
      </c>
      <c r="F2329">
        <v>1</v>
      </c>
      <c r="G2329" t="s">
        <v>1044</v>
      </c>
      <c r="H2329">
        <f>_xlfn.XLOOKUP(D2329, productos!$A$2:$A$150, productos!$D$2:$D$150, "No Encontrado", 0)</f>
        <v>6.21</v>
      </c>
      <c r="I2329">
        <f t="shared" si="36"/>
        <v>18.63</v>
      </c>
    </row>
    <row r="2330" spans="1:9" x14ac:dyDescent="0.25">
      <c r="A2330">
        <v>1635</v>
      </c>
      <c r="B2330" s="1">
        <v>45570</v>
      </c>
      <c r="C2330">
        <v>94</v>
      </c>
      <c r="D2330">
        <v>20</v>
      </c>
      <c r="E2330">
        <v>5</v>
      </c>
      <c r="F2330">
        <v>1</v>
      </c>
      <c r="G2330" t="s">
        <v>1044</v>
      </c>
      <c r="H2330">
        <f>_xlfn.XLOOKUP(D2330, productos!$A$2:$A$150, productos!$D$2:$D$150, "No Encontrado", 0)</f>
        <v>4.25</v>
      </c>
      <c r="I2330">
        <f t="shared" si="36"/>
        <v>21.25</v>
      </c>
    </row>
    <row r="2331" spans="1:9" x14ac:dyDescent="0.25">
      <c r="A2331">
        <v>2090</v>
      </c>
      <c r="B2331" s="1">
        <v>45570</v>
      </c>
      <c r="C2331">
        <v>299</v>
      </c>
      <c r="D2331">
        <v>19</v>
      </c>
      <c r="E2331">
        <v>5</v>
      </c>
      <c r="F2331">
        <v>1</v>
      </c>
      <c r="G2331" t="s">
        <v>1044</v>
      </c>
      <c r="H2331">
        <f>_xlfn.XLOOKUP(D2331, productos!$A$2:$A$150, productos!$D$2:$D$150, "No Encontrado", 0)</f>
        <v>6.54</v>
      </c>
      <c r="I2331">
        <f t="shared" si="36"/>
        <v>32.700000000000003</v>
      </c>
    </row>
    <row r="2332" spans="1:9" x14ac:dyDescent="0.25">
      <c r="A2332">
        <v>2404</v>
      </c>
      <c r="B2332" s="1">
        <v>45570</v>
      </c>
      <c r="C2332">
        <v>97</v>
      </c>
      <c r="D2332">
        <v>1</v>
      </c>
      <c r="E2332">
        <v>4</v>
      </c>
      <c r="F2332">
        <v>5</v>
      </c>
      <c r="G2332" t="s">
        <v>1044</v>
      </c>
      <c r="H2332">
        <f>_xlfn.XLOOKUP(D2332, productos!$A$2:$A$150, productos!$D$2:$D$150, "No Encontrado", 0)</f>
        <v>12.24</v>
      </c>
      <c r="I2332">
        <f t="shared" si="36"/>
        <v>48.96</v>
      </c>
    </row>
    <row r="2333" spans="1:9" x14ac:dyDescent="0.25">
      <c r="A2333">
        <v>2690</v>
      </c>
      <c r="B2333" s="1">
        <v>45570</v>
      </c>
      <c r="C2333">
        <v>263</v>
      </c>
      <c r="D2333">
        <v>18</v>
      </c>
      <c r="E2333">
        <v>4</v>
      </c>
      <c r="F2333">
        <v>5</v>
      </c>
      <c r="G2333" t="s">
        <v>1044</v>
      </c>
      <c r="H2333">
        <f>_xlfn.XLOOKUP(D2333, productos!$A$2:$A$150, productos!$D$2:$D$150, "No Encontrado", 0)</f>
        <v>7.25</v>
      </c>
      <c r="I2333">
        <f t="shared" si="36"/>
        <v>29</v>
      </c>
    </row>
    <row r="2334" spans="1:9" x14ac:dyDescent="0.25">
      <c r="A2334">
        <v>894</v>
      </c>
      <c r="B2334" s="1">
        <v>45571</v>
      </c>
      <c r="C2334">
        <v>178</v>
      </c>
      <c r="D2334">
        <v>6</v>
      </c>
      <c r="E2334">
        <v>1</v>
      </c>
      <c r="F2334">
        <v>5</v>
      </c>
      <c r="G2334" t="s">
        <v>1044</v>
      </c>
      <c r="H2334">
        <f>_xlfn.XLOOKUP(D2334, productos!$A$2:$A$150, productos!$D$2:$D$150, "No Encontrado", 0)</f>
        <v>28.56</v>
      </c>
      <c r="I2334">
        <f t="shared" si="36"/>
        <v>28.56</v>
      </c>
    </row>
    <row r="2335" spans="1:9" x14ac:dyDescent="0.25">
      <c r="A2335">
        <v>964</v>
      </c>
      <c r="B2335" s="1">
        <v>45571</v>
      </c>
      <c r="C2335">
        <v>220</v>
      </c>
      <c r="D2335">
        <v>18</v>
      </c>
      <c r="E2335">
        <v>4</v>
      </c>
      <c r="F2335">
        <v>4</v>
      </c>
      <c r="G2335" t="s">
        <v>1044</v>
      </c>
      <c r="H2335">
        <f>_xlfn.XLOOKUP(D2335, productos!$A$2:$A$150, productos!$D$2:$D$150, "No Encontrado", 0)</f>
        <v>7.25</v>
      </c>
      <c r="I2335">
        <f t="shared" si="36"/>
        <v>29</v>
      </c>
    </row>
    <row r="2336" spans="1:9" x14ac:dyDescent="0.25">
      <c r="A2336">
        <v>1015</v>
      </c>
      <c r="B2336" s="1">
        <v>45571</v>
      </c>
      <c r="C2336">
        <v>83</v>
      </c>
      <c r="D2336">
        <v>4</v>
      </c>
      <c r="E2336">
        <v>1</v>
      </c>
      <c r="F2336">
        <v>5</v>
      </c>
      <c r="G2336" t="s">
        <v>1044</v>
      </c>
      <c r="H2336">
        <f>_xlfn.XLOOKUP(D2336, productos!$A$2:$A$150, productos!$D$2:$D$150, "No Encontrado", 0)</f>
        <v>19.23</v>
      </c>
      <c r="I2336">
        <f t="shared" si="36"/>
        <v>19.23</v>
      </c>
    </row>
    <row r="2337" spans="1:9" x14ac:dyDescent="0.25">
      <c r="A2337">
        <v>1528</v>
      </c>
      <c r="B2337" s="1">
        <v>45571</v>
      </c>
      <c r="C2337">
        <v>90</v>
      </c>
      <c r="D2337">
        <v>29</v>
      </c>
      <c r="E2337">
        <v>2</v>
      </c>
      <c r="F2337">
        <v>3</v>
      </c>
      <c r="G2337" t="s">
        <v>1045</v>
      </c>
      <c r="H2337">
        <f>_xlfn.XLOOKUP(D2337, productos!$A$2:$A$150, productos!$D$2:$D$150, "No Encontrado", 0)</f>
        <v>11.54</v>
      </c>
      <c r="I2337">
        <f t="shared" si="36"/>
        <v>23.08</v>
      </c>
    </row>
    <row r="2338" spans="1:9" x14ac:dyDescent="0.25">
      <c r="A2338">
        <v>1560</v>
      </c>
      <c r="B2338" s="1">
        <v>45571</v>
      </c>
      <c r="C2338">
        <v>240</v>
      </c>
      <c r="D2338">
        <v>9</v>
      </c>
      <c r="E2338">
        <v>5</v>
      </c>
      <c r="F2338">
        <v>3</v>
      </c>
      <c r="G2338" t="s">
        <v>1045</v>
      </c>
      <c r="H2338">
        <f>_xlfn.XLOOKUP(D2338, productos!$A$2:$A$150, productos!$D$2:$D$150, "No Encontrado", 0)</f>
        <v>18.559999999999999</v>
      </c>
      <c r="I2338">
        <f t="shared" si="36"/>
        <v>92.8</v>
      </c>
    </row>
    <row r="2339" spans="1:9" x14ac:dyDescent="0.25">
      <c r="A2339">
        <v>1971</v>
      </c>
      <c r="B2339" s="1">
        <v>45571</v>
      </c>
      <c r="C2339">
        <v>176</v>
      </c>
      <c r="D2339">
        <v>30</v>
      </c>
      <c r="E2339">
        <v>1</v>
      </c>
      <c r="F2339">
        <v>3</v>
      </c>
      <c r="G2339" t="s">
        <v>1044</v>
      </c>
      <c r="H2339">
        <f>_xlfn.XLOOKUP(D2339, productos!$A$2:$A$150, productos!$D$2:$D$150, "No Encontrado", 0)</f>
        <v>13.54</v>
      </c>
      <c r="I2339">
        <f t="shared" si="36"/>
        <v>13.54</v>
      </c>
    </row>
    <row r="2340" spans="1:9" x14ac:dyDescent="0.25">
      <c r="A2340">
        <v>2491</v>
      </c>
      <c r="B2340" s="1">
        <v>45571</v>
      </c>
      <c r="C2340">
        <v>91</v>
      </c>
      <c r="D2340">
        <v>5</v>
      </c>
      <c r="E2340">
        <v>3</v>
      </c>
      <c r="F2340">
        <v>4</v>
      </c>
      <c r="G2340" t="s">
        <v>1045</v>
      </c>
      <c r="H2340">
        <f>_xlfn.XLOOKUP(D2340, productos!$A$2:$A$150, productos!$D$2:$D$150, "No Encontrado", 0)</f>
        <v>5.65</v>
      </c>
      <c r="I2340">
        <f t="shared" si="36"/>
        <v>16.950000000000003</v>
      </c>
    </row>
    <row r="2341" spans="1:9" x14ac:dyDescent="0.25">
      <c r="A2341">
        <v>2948</v>
      </c>
      <c r="B2341" s="1">
        <v>45571</v>
      </c>
      <c r="C2341">
        <v>278</v>
      </c>
      <c r="D2341">
        <v>32</v>
      </c>
      <c r="E2341">
        <v>6</v>
      </c>
      <c r="F2341">
        <v>4</v>
      </c>
      <c r="G2341" t="s">
        <v>1044</v>
      </c>
      <c r="H2341">
        <f>_xlfn.XLOOKUP(D2341, productos!$A$2:$A$150, productos!$D$2:$D$150, "No Encontrado", 0)</f>
        <v>6.25</v>
      </c>
      <c r="I2341">
        <f t="shared" si="36"/>
        <v>37.5</v>
      </c>
    </row>
    <row r="2342" spans="1:9" x14ac:dyDescent="0.25">
      <c r="A2342">
        <v>1330</v>
      </c>
      <c r="B2342" s="1">
        <v>45572</v>
      </c>
      <c r="C2342">
        <v>285</v>
      </c>
      <c r="D2342">
        <v>7</v>
      </c>
      <c r="E2342">
        <v>6</v>
      </c>
      <c r="F2342">
        <v>4</v>
      </c>
      <c r="G2342" t="s">
        <v>1045</v>
      </c>
      <c r="H2342">
        <f>_xlfn.XLOOKUP(D2342, productos!$A$2:$A$150, productos!$D$2:$D$150, "No Encontrado", 0)</f>
        <v>11.25</v>
      </c>
      <c r="I2342">
        <f t="shared" si="36"/>
        <v>67.5</v>
      </c>
    </row>
    <row r="2343" spans="1:9" x14ac:dyDescent="0.25">
      <c r="A2343">
        <v>1360</v>
      </c>
      <c r="B2343" s="1">
        <v>45572</v>
      </c>
      <c r="C2343">
        <v>177</v>
      </c>
      <c r="D2343">
        <v>37</v>
      </c>
      <c r="E2343">
        <v>4</v>
      </c>
      <c r="F2343">
        <v>3</v>
      </c>
      <c r="G2343" t="s">
        <v>1044</v>
      </c>
      <c r="H2343">
        <f>_xlfn.XLOOKUP(D2343, productos!$A$2:$A$150, productos!$D$2:$D$150, "No Encontrado", 0)</f>
        <v>3.65</v>
      </c>
      <c r="I2343">
        <f t="shared" si="36"/>
        <v>14.6</v>
      </c>
    </row>
    <row r="2344" spans="1:9" x14ac:dyDescent="0.25">
      <c r="A2344">
        <v>1571</v>
      </c>
      <c r="B2344" s="1">
        <v>45572</v>
      </c>
      <c r="C2344">
        <v>14</v>
      </c>
      <c r="D2344">
        <v>18</v>
      </c>
      <c r="E2344">
        <v>6</v>
      </c>
      <c r="F2344">
        <v>4</v>
      </c>
      <c r="G2344" t="s">
        <v>1044</v>
      </c>
      <c r="H2344">
        <f>_xlfn.XLOOKUP(D2344, productos!$A$2:$A$150, productos!$D$2:$D$150, "No Encontrado", 0)</f>
        <v>7.25</v>
      </c>
      <c r="I2344">
        <f t="shared" si="36"/>
        <v>43.5</v>
      </c>
    </row>
    <row r="2345" spans="1:9" x14ac:dyDescent="0.25">
      <c r="A2345">
        <v>1603</v>
      </c>
      <c r="B2345" s="1">
        <v>45572</v>
      </c>
      <c r="C2345">
        <v>50</v>
      </c>
      <c r="D2345">
        <v>22</v>
      </c>
      <c r="E2345">
        <v>3</v>
      </c>
      <c r="F2345">
        <v>4</v>
      </c>
      <c r="G2345" t="s">
        <v>1044</v>
      </c>
      <c r="H2345">
        <f>_xlfn.XLOOKUP(D2345, productos!$A$2:$A$150, productos!$D$2:$D$150, "No Encontrado", 0)</f>
        <v>4.21</v>
      </c>
      <c r="I2345">
        <f t="shared" si="36"/>
        <v>12.629999999999999</v>
      </c>
    </row>
    <row r="2346" spans="1:9" x14ac:dyDescent="0.25">
      <c r="A2346">
        <v>2122</v>
      </c>
      <c r="B2346" s="1">
        <v>45572</v>
      </c>
      <c r="C2346">
        <v>120</v>
      </c>
      <c r="D2346">
        <v>2</v>
      </c>
      <c r="E2346">
        <v>5</v>
      </c>
      <c r="F2346">
        <v>5</v>
      </c>
      <c r="G2346" t="s">
        <v>1044</v>
      </c>
      <c r="H2346">
        <f>_xlfn.XLOOKUP(D2346, productos!$A$2:$A$150, productos!$D$2:$D$150, "No Encontrado", 0)</f>
        <v>5.21</v>
      </c>
      <c r="I2346">
        <f t="shared" si="36"/>
        <v>26.05</v>
      </c>
    </row>
    <row r="2347" spans="1:9" x14ac:dyDescent="0.25">
      <c r="A2347">
        <v>2275</v>
      </c>
      <c r="B2347" s="1">
        <v>45572</v>
      </c>
      <c r="C2347">
        <v>227</v>
      </c>
      <c r="D2347">
        <v>36</v>
      </c>
      <c r="E2347">
        <v>1</v>
      </c>
      <c r="F2347">
        <v>1</v>
      </c>
      <c r="G2347" t="s">
        <v>1044</v>
      </c>
      <c r="H2347">
        <f>_xlfn.XLOOKUP(D2347, productos!$A$2:$A$150, productos!$D$2:$D$150, "No Encontrado", 0)</f>
        <v>3.25</v>
      </c>
      <c r="I2347">
        <f t="shared" si="36"/>
        <v>3.25</v>
      </c>
    </row>
    <row r="2348" spans="1:9" x14ac:dyDescent="0.25">
      <c r="A2348">
        <v>2569</v>
      </c>
      <c r="B2348" s="1">
        <v>45572</v>
      </c>
      <c r="C2348">
        <v>177</v>
      </c>
      <c r="D2348">
        <v>32</v>
      </c>
      <c r="E2348">
        <v>4</v>
      </c>
      <c r="F2348">
        <v>4</v>
      </c>
      <c r="G2348" t="s">
        <v>1044</v>
      </c>
      <c r="H2348">
        <f>_xlfn.XLOOKUP(D2348, productos!$A$2:$A$150, productos!$D$2:$D$150, "No Encontrado", 0)</f>
        <v>6.25</v>
      </c>
      <c r="I2348">
        <f t="shared" si="36"/>
        <v>25</v>
      </c>
    </row>
    <row r="2349" spans="1:9" x14ac:dyDescent="0.25">
      <c r="A2349">
        <v>2853</v>
      </c>
      <c r="B2349" s="1">
        <v>45572</v>
      </c>
      <c r="C2349">
        <v>259</v>
      </c>
      <c r="D2349">
        <v>25</v>
      </c>
      <c r="E2349">
        <v>4</v>
      </c>
      <c r="F2349">
        <v>2</v>
      </c>
      <c r="G2349" t="s">
        <v>1044</v>
      </c>
      <c r="H2349">
        <f>_xlfn.XLOOKUP(D2349, productos!$A$2:$A$150, productos!$D$2:$D$150, "No Encontrado", 0)</f>
        <v>15.45</v>
      </c>
      <c r="I2349">
        <f t="shared" si="36"/>
        <v>61.8</v>
      </c>
    </row>
    <row r="2350" spans="1:9" x14ac:dyDescent="0.25">
      <c r="A2350">
        <v>553</v>
      </c>
      <c r="B2350" s="1">
        <v>45573</v>
      </c>
      <c r="C2350">
        <v>255</v>
      </c>
      <c r="D2350">
        <v>21</v>
      </c>
      <c r="E2350">
        <v>5</v>
      </c>
      <c r="F2350">
        <v>4</v>
      </c>
      <c r="G2350" t="s">
        <v>1044</v>
      </c>
      <c r="H2350">
        <f>_xlfn.XLOOKUP(D2350, productos!$A$2:$A$150, productos!$D$2:$D$150, "No Encontrado", 0)</f>
        <v>3.25</v>
      </c>
      <c r="I2350">
        <f t="shared" si="36"/>
        <v>16.25</v>
      </c>
    </row>
    <row r="2351" spans="1:9" x14ac:dyDescent="0.25">
      <c r="A2351">
        <v>2910</v>
      </c>
      <c r="B2351" s="1">
        <v>45573</v>
      </c>
      <c r="C2351">
        <v>77</v>
      </c>
      <c r="D2351">
        <v>34</v>
      </c>
      <c r="E2351">
        <v>4</v>
      </c>
      <c r="F2351">
        <v>1</v>
      </c>
      <c r="G2351" t="s">
        <v>1044</v>
      </c>
      <c r="H2351">
        <f>_xlfn.XLOOKUP(D2351, productos!$A$2:$A$150, productos!$D$2:$D$150, "No Encontrado", 0)</f>
        <v>5.45</v>
      </c>
      <c r="I2351">
        <f t="shared" si="36"/>
        <v>21.8</v>
      </c>
    </row>
    <row r="2352" spans="1:9" x14ac:dyDescent="0.25">
      <c r="A2352">
        <v>712</v>
      </c>
      <c r="B2352" s="1">
        <v>45574</v>
      </c>
      <c r="C2352">
        <v>247</v>
      </c>
      <c r="D2352">
        <v>15</v>
      </c>
      <c r="E2352">
        <v>4</v>
      </c>
      <c r="F2352">
        <v>1</v>
      </c>
      <c r="G2352" t="s">
        <v>1044</v>
      </c>
      <c r="H2352">
        <f>_xlfn.XLOOKUP(D2352, productos!$A$2:$A$150, productos!$D$2:$D$150, "No Encontrado", 0)</f>
        <v>3.51</v>
      </c>
      <c r="I2352">
        <f t="shared" si="36"/>
        <v>14.04</v>
      </c>
    </row>
    <row r="2353" spans="1:9" x14ac:dyDescent="0.25">
      <c r="A2353">
        <v>769</v>
      </c>
      <c r="B2353" s="1">
        <v>45574</v>
      </c>
      <c r="C2353">
        <v>289</v>
      </c>
      <c r="D2353">
        <v>17</v>
      </c>
      <c r="E2353">
        <v>5</v>
      </c>
      <c r="F2353">
        <v>3</v>
      </c>
      <c r="G2353" t="s">
        <v>1044</v>
      </c>
      <c r="H2353">
        <f>_xlfn.XLOOKUP(D2353, productos!$A$2:$A$150, productos!$D$2:$D$150, "No Encontrado", 0)</f>
        <v>6.54</v>
      </c>
      <c r="I2353">
        <f t="shared" si="36"/>
        <v>32.700000000000003</v>
      </c>
    </row>
    <row r="2354" spans="1:9" x14ac:dyDescent="0.25">
      <c r="A2354">
        <v>1012</v>
      </c>
      <c r="B2354" s="1">
        <v>45574</v>
      </c>
      <c r="C2354">
        <v>127</v>
      </c>
      <c r="D2354">
        <v>1</v>
      </c>
      <c r="E2354">
        <v>2</v>
      </c>
      <c r="F2354">
        <v>4</v>
      </c>
      <c r="G2354" t="s">
        <v>1044</v>
      </c>
      <c r="H2354">
        <f>_xlfn.XLOOKUP(D2354, productos!$A$2:$A$150, productos!$D$2:$D$150, "No Encontrado", 0)</f>
        <v>12.24</v>
      </c>
      <c r="I2354">
        <f t="shared" si="36"/>
        <v>24.48</v>
      </c>
    </row>
    <row r="2355" spans="1:9" x14ac:dyDescent="0.25">
      <c r="A2355">
        <v>1280</v>
      </c>
      <c r="B2355" s="1">
        <v>45574</v>
      </c>
      <c r="C2355">
        <v>239</v>
      </c>
      <c r="D2355">
        <v>10</v>
      </c>
      <c r="E2355">
        <v>1</v>
      </c>
      <c r="F2355">
        <v>5</v>
      </c>
      <c r="G2355" t="s">
        <v>1044</v>
      </c>
      <c r="H2355">
        <f>_xlfn.XLOOKUP(D2355, productos!$A$2:$A$150, productos!$D$2:$D$150, "No Encontrado", 0)</f>
        <v>14.25</v>
      </c>
      <c r="I2355">
        <f t="shared" si="36"/>
        <v>14.25</v>
      </c>
    </row>
    <row r="2356" spans="1:9" x14ac:dyDescent="0.25">
      <c r="A2356">
        <v>1512</v>
      </c>
      <c r="B2356" s="1">
        <v>45574</v>
      </c>
      <c r="C2356">
        <v>91</v>
      </c>
      <c r="D2356">
        <v>11</v>
      </c>
      <c r="E2356">
        <v>2</v>
      </c>
      <c r="F2356">
        <v>5</v>
      </c>
      <c r="G2356" t="s">
        <v>1044</v>
      </c>
      <c r="H2356">
        <f>_xlfn.XLOOKUP(D2356, productos!$A$2:$A$150, productos!$D$2:$D$150, "No Encontrado", 0)</f>
        <v>11.23</v>
      </c>
      <c r="I2356">
        <f t="shared" si="36"/>
        <v>22.46</v>
      </c>
    </row>
    <row r="2357" spans="1:9" x14ac:dyDescent="0.25">
      <c r="A2357">
        <v>1684</v>
      </c>
      <c r="B2357" s="1">
        <v>45574</v>
      </c>
      <c r="C2357">
        <v>174</v>
      </c>
      <c r="D2357">
        <v>8</v>
      </c>
      <c r="E2357">
        <v>3</v>
      </c>
      <c r="F2357">
        <v>5</v>
      </c>
      <c r="G2357" t="s">
        <v>1044</v>
      </c>
      <c r="H2357">
        <f>_xlfn.XLOOKUP(D2357, productos!$A$2:$A$150, productos!$D$2:$D$150, "No Encontrado", 0)</f>
        <v>16.21</v>
      </c>
      <c r="I2357">
        <f t="shared" si="36"/>
        <v>48.63</v>
      </c>
    </row>
    <row r="2358" spans="1:9" x14ac:dyDescent="0.25">
      <c r="A2358">
        <v>2662</v>
      </c>
      <c r="B2358" s="1">
        <v>45574</v>
      </c>
      <c r="C2358">
        <v>15</v>
      </c>
      <c r="D2358">
        <v>14</v>
      </c>
      <c r="E2358">
        <v>6</v>
      </c>
      <c r="F2358">
        <v>4</v>
      </c>
      <c r="G2358" t="s">
        <v>1044</v>
      </c>
      <c r="H2358">
        <f>_xlfn.XLOOKUP(D2358, productos!$A$2:$A$150, productos!$D$2:$D$150, "No Encontrado", 0)</f>
        <v>12.36</v>
      </c>
      <c r="I2358">
        <f t="shared" si="36"/>
        <v>74.16</v>
      </c>
    </row>
    <row r="2359" spans="1:9" x14ac:dyDescent="0.25">
      <c r="A2359">
        <v>2919</v>
      </c>
      <c r="B2359" s="1">
        <v>45574</v>
      </c>
      <c r="C2359">
        <v>238</v>
      </c>
      <c r="D2359">
        <v>32</v>
      </c>
      <c r="E2359">
        <v>4</v>
      </c>
      <c r="F2359">
        <v>5</v>
      </c>
      <c r="G2359" t="s">
        <v>1044</v>
      </c>
      <c r="H2359">
        <f>_xlfn.XLOOKUP(D2359, productos!$A$2:$A$150, productos!$D$2:$D$150, "No Encontrado", 0)</f>
        <v>6.25</v>
      </c>
      <c r="I2359">
        <f t="shared" si="36"/>
        <v>25</v>
      </c>
    </row>
    <row r="2360" spans="1:9" x14ac:dyDescent="0.25">
      <c r="A2360">
        <v>363</v>
      </c>
      <c r="B2360" s="1">
        <v>45575</v>
      </c>
      <c r="C2360">
        <v>219</v>
      </c>
      <c r="D2360">
        <v>23</v>
      </c>
      <c r="E2360">
        <v>2</v>
      </c>
      <c r="F2360">
        <v>2</v>
      </c>
      <c r="G2360" t="s">
        <v>1044</v>
      </c>
      <c r="H2360">
        <f>_xlfn.XLOOKUP(D2360, productos!$A$2:$A$150, productos!$D$2:$D$150, "No Encontrado", 0)</f>
        <v>8.23</v>
      </c>
      <c r="I2360">
        <f t="shared" si="36"/>
        <v>16.46</v>
      </c>
    </row>
    <row r="2361" spans="1:9" x14ac:dyDescent="0.25">
      <c r="A2361">
        <v>430</v>
      </c>
      <c r="B2361" s="1">
        <v>45575</v>
      </c>
      <c r="C2361">
        <v>26</v>
      </c>
      <c r="D2361">
        <v>25</v>
      </c>
      <c r="E2361">
        <v>2</v>
      </c>
      <c r="F2361">
        <v>5</v>
      </c>
      <c r="G2361" t="s">
        <v>1044</v>
      </c>
      <c r="H2361">
        <f>_xlfn.XLOOKUP(D2361, productos!$A$2:$A$150, productos!$D$2:$D$150, "No Encontrado", 0)</f>
        <v>15.45</v>
      </c>
      <c r="I2361">
        <f t="shared" si="36"/>
        <v>30.9</v>
      </c>
    </row>
    <row r="2362" spans="1:9" x14ac:dyDescent="0.25">
      <c r="A2362">
        <v>541</v>
      </c>
      <c r="B2362" s="1">
        <v>45575</v>
      </c>
      <c r="C2362">
        <v>106</v>
      </c>
      <c r="D2362">
        <v>21</v>
      </c>
      <c r="E2362">
        <v>4</v>
      </c>
      <c r="F2362">
        <v>1</v>
      </c>
      <c r="G2362" t="s">
        <v>1044</v>
      </c>
      <c r="H2362">
        <f>_xlfn.XLOOKUP(D2362, productos!$A$2:$A$150, productos!$D$2:$D$150, "No Encontrado", 0)</f>
        <v>3.25</v>
      </c>
      <c r="I2362">
        <f t="shared" si="36"/>
        <v>13</v>
      </c>
    </row>
    <row r="2363" spans="1:9" x14ac:dyDescent="0.25">
      <c r="A2363">
        <v>602</v>
      </c>
      <c r="B2363" s="1">
        <v>45575</v>
      </c>
      <c r="C2363">
        <v>53</v>
      </c>
      <c r="D2363">
        <v>35</v>
      </c>
      <c r="E2363">
        <v>1</v>
      </c>
      <c r="F2363">
        <v>4</v>
      </c>
      <c r="G2363" t="s">
        <v>1044</v>
      </c>
      <c r="H2363">
        <f>_xlfn.XLOOKUP(D2363, productos!$A$2:$A$150, productos!$D$2:$D$150, "No Encontrado", 0)</f>
        <v>4.25</v>
      </c>
      <c r="I2363">
        <f t="shared" si="36"/>
        <v>4.25</v>
      </c>
    </row>
    <row r="2364" spans="1:9" x14ac:dyDescent="0.25">
      <c r="A2364">
        <v>740</v>
      </c>
      <c r="B2364" s="1">
        <v>45575</v>
      </c>
      <c r="C2364">
        <v>62</v>
      </c>
      <c r="D2364">
        <v>17</v>
      </c>
      <c r="E2364">
        <v>3</v>
      </c>
      <c r="F2364">
        <v>3</v>
      </c>
      <c r="G2364" t="s">
        <v>1044</v>
      </c>
      <c r="H2364">
        <f>_xlfn.XLOOKUP(D2364, productos!$A$2:$A$150, productos!$D$2:$D$150, "No Encontrado", 0)</f>
        <v>6.54</v>
      </c>
      <c r="I2364">
        <f t="shared" si="36"/>
        <v>19.62</v>
      </c>
    </row>
    <row r="2365" spans="1:9" x14ac:dyDescent="0.25">
      <c r="A2365">
        <v>1246</v>
      </c>
      <c r="B2365" s="1">
        <v>45575</v>
      </c>
      <c r="C2365">
        <v>54</v>
      </c>
      <c r="D2365">
        <v>38</v>
      </c>
      <c r="E2365">
        <v>6</v>
      </c>
      <c r="F2365">
        <v>2</v>
      </c>
      <c r="G2365" t="s">
        <v>1044</v>
      </c>
      <c r="H2365">
        <f>_xlfn.XLOOKUP(D2365, productos!$A$2:$A$150, productos!$D$2:$D$150, "No Encontrado", 0)</f>
        <v>6.21</v>
      </c>
      <c r="I2365">
        <f t="shared" si="36"/>
        <v>37.26</v>
      </c>
    </row>
    <row r="2366" spans="1:9" x14ac:dyDescent="0.25">
      <c r="A2366">
        <v>1414</v>
      </c>
      <c r="B2366" s="1">
        <v>45575</v>
      </c>
      <c r="C2366">
        <v>248</v>
      </c>
      <c r="D2366">
        <v>24</v>
      </c>
      <c r="E2366">
        <v>4</v>
      </c>
      <c r="F2366">
        <v>5</v>
      </c>
      <c r="G2366" t="s">
        <v>1045</v>
      </c>
      <c r="H2366">
        <f>_xlfn.XLOOKUP(D2366, productos!$A$2:$A$150, productos!$D$2:$D$150, "No Encontrado", 0)</f>
        <v>13.54</v>
      </c>
      <c r="I2366">
        <f t="shared" si="36"/>
        <v>54.16</v>
      </c>
    </row>
    <row r="2367" spans="1:9" x14ac:dyDescent="0.25">
      <c r="A2367">
        <v>2523</v>
      </c>
      <c r="B2367" s="1">
        <v>45575</v>
      </c>
      <c r="C2367">
        <v>63</v>
      </c>
      <c r="D2367">
        <v>17</v>
      </c>
      <c r="E2367">
        <v>6</v>
      </c>
      <c r="F2367">
        <v>5</v>
      </c>
      <c r="G2367" t="s">
        <v>1044</v>
      </c>
      <c r="H2367">
        <f>_xlfn.XLOOKUP(D2367, productos!$A$2:$A$150, productos!$D$2:$D$150, "No Encontrado", 0)</f>
        <v>6.54</v>
      </c>
      <c r="I2367">
        <f t="shared" si="36"/>
        <v>39.24</v>
      </c>
    </row>
    <row r="2368" spans="1:9" x14ac:dyDescent="0.25">
      <c r="A2368">
        <v>2684</v>
      </c>
      <c r="B2368" s="1">
        <v>45575</v>
      </c>
      <c r="C2368">
        <v>282</v>
      </c>
      <c r="D2368">
        <v>35</v>
      </c>
      <c r="E2368">
        <v>5</v>
      </c>
      <c r="F2368">
        <v>2</v>
      </c>
      <c r="G2368" t="s">
        <v>1044</v>
      </c>
      <c r="H2368">
        <f>_xlfn.XLOOKUP(D2368, productos!$A$2:$A$150, productos!$D$2:$D$150, "No Encontrado", 0)</f>
        <v>4.25</v>
      </c>
      <c r="I2368">
        <f t="shared" si="36"/>
        <v>21.25</v>
      </c>
    </row>
    <row r="2369" spans="1:9" x14ac:dyDescent="0.25">
      <c r="A2369">
        <v>2776</v>
      </c>
      <c r="B2369" s="1">
        <v>45575</v>
      </c>
      <c r="C2369">
        <v>10</v>
      </c>
      <c r="D2369">
        <v>33</v>
      </c>
      <c r="E2369">
        <v>3</v>
      </c>
      <c r="F2369">
        <v>3</v>
      </c>
      <c r="G2369" t="s">
        <v>1045</v>
      </c>
      <c r="H2369">
        <f>_xlfn.XLOOKUP(D2369, productos!$A$2:$A$150, productos!$D$2:$D$150, "No Encontrado", 0)</f>
        <v>8.5399999999999991</v>
      </c>
      <c r="I2369">
        <f t="shared" si="36"/>
        <v>25.619999999999997</v>
      </c>
    </row>
    <row r="2370" spans="1:9" x14ac:dyDescent="0.25">
      <c r="A2370">
        <v>993</v>
      </c>
      <c r="B2370" s="1">
        <v>45576</v>
      </c>
      <c r="C2370">
        <v>313</v>
      </c>
      <c r="D2370">
        <v>10</v>
      </c>
      <c r="E2370">
        <v>5</v>
      </c>
      <c r="F2370">
        <v>4</v>
      </c>
      <c r="G2370" t="s">
        <v>1044</v>
      </c>
      <c r="H2370">
        <f>_xlfn.XLOOKUP(D2370, productos!$A$2:$A$150, productos!$D$2:$D$150, "No Encontrado", 0)</f>
        <v>14.25</v>
      </c>
      <c r="I2370">
        <f t="shared" si="36"/>
        <v>71.25</v>
      </c>
    </row>
    <row r="2371" spans="1:9" x14ac:dyDescent="0.25">
      <c r="A2371">
        <v>1152</v>
      </c>
      <c r="B2371" s="1">
        <v>45576</v>
      </c>
      <c r="C2371">
        <v>111</v>
      </c>
      <c r="D2371">
        <v>6</v>
      </c>
      <c r="E2371">
        <v>3</v>
      </c>
      <c r="F2371">
        <v>4</v>
      </c>
      <c r="G2371" t="s">
        <v>1044</v>
      </c>
      <c r="H2371">
        <f>_xlfn.XLOOKUP(D2371, productos!$A$2:$A$150, productos!$D$2:$D$150, "No Encontrado", 0)</f>
        <v>28.56</v>
      </c>
      <c r="I2371">
        <f t="shared" ref="I2371:I2434" si="37">E2371*H2371</f>
        <v>85.679999999999993</v>
      </c>
    </row>
    <row r="2372" spans="1:9" x14ac:dyDescent="0.25">
      <c r="A2372">
        <v>1701</v>
      </c>
      <c r="B2372" s="1">
        <v>45576</v>
      </c>
      <c r="C2372">
        <v>200</v>
      </c>
      <c r="D2372">
        <v>3</v>
      </c>
      <c r="E2372">
        <v>2</v>
      </c>
      <c r="F2372">
        <v>5</v>
      </c>
      <c r="G2372" t="s">
        <v>1045</v>
      </c>
      <c r="H2372">
        <f>_xlfn.XLOOKUP(D2372, productos!$A$2:$A$150, productos!$D$2:$D$150, "No Encontrado", 0)</f>
        <v>17.23</v>
      </c>
      <c r="I2372">
        <f t="shared" si="37"/>
        <v>34.46</v>
      </c>
    </row>
    <row r="2373" spans="1:9" x14ac:dyDescent="0.25">
      <c r="A2373">
        <v>1726</v>
      </c>
      <c r="B2373" s="1">
        <v>45576</v>
      </c>
      <c r="C2373">
        <v>241</v>
      </c>
      <c r="D2373">
        <v>28</v>
      </c>
      <c r="E2373">
        <v>3</v>
      </c>
      <c r="F2373">
        <v>4</v>
      </c>
      <c r="G2373" t="s">
        <v>1044</v>
      </c>
      <c r="H2373">
        <f>_xlfn.XLOOKUP(D2373, productos!$A$2:$A$150, productos!$D$2:$D$150, "No Encontrado", 0)</f>
        <v>9.4499999999999993</v>
      </c>
      <c r="I2373">
        <f t="shared" si="37"/>
        <v>28.349999999999998</v>
      </c>
    </row>
    <row r="2374" spans="1:9" x14ac:dyDescent="0.25">
      <c r="A2374">
        <v>2104</v>
      </c>
      <c r="B2374" s="1">
        <v>45576</v>
      </c>
      <c r="C2374">
        <v>320</v>
      </c>
      <c r="D2374">
        <v>15</v>
      </c>
      <c r="E2374">
        <v>5</v>
      </c>
      <c r="F2374">
        <v>4</v>
      </c>
      <c r="G2374" t="s">
        <v>1045</v>
      </c>
      <c r="H2374">
        <f>_xlfn.XLOOKUP(D2374, productos!$A$2:$A$150, productos!$D$2:$D$150, "No Encontrado", 0)</f>
        <v>3.51</v>
      </c>
      <c r="I2374">
        <f t="shared" si="37"/>
        <v>17.549999999999997</v>
      </c>
    </row>
    <row r="2375" spans="1:9" x14ac:dyDescent="0.25">
      <c r="A2375">
        <v>2710</v>
      </c>
      <c r="B2375" s="1">
        <v>45576</v>
      </c>
      <c r="C2375">
        <v>5</v>
      </c>
      <c r="D2375">
        <v>8</v>
      </c>
      <c r="E2375">
        <v>2</v>
      </c>
      <c r="F2375">
        <v>5</v>
      </c>
      <c r="G2375" t="s">
        <v>1044</v>
      </c>
      <c r="H2375">
        <f>_xlfn.XLOOKUP(D2375, productos!$A$2:$A$150, productos!$D$2:$D$150, "No Encontrado", 0)</f>
        <v>16.21</v>
      </c>
      <c r="I2375">
        <f t="shared" si="37"/>
        <v>32.42</v>
      </c>
    </row>
    <row r="2376" spans="1:9" x14ac:dyDescent="0.25">
      <c r="A2376">
        <v>2953</v>
      </c>
      <c r="B2376" s="1">
        <v>45576</v>
      </c>
      <c r="C2376">
        <v>1</v>
      </c>
      <c r="D2376">
        <v>22</v>
      </c>
      <c r="E2376">
        <v>5</v>
      </c>
      <c r="F2376">
        <v>4</v>
      </c>
      <c r="G2376" t="s">
        <v>1044</v>
      </c>
      <c r="H2376">
        <f>_xlfn.XLOOKUP(D2376, productos!$A$2:$A$150, productos!$D$2:$D$150, "No Encontrado", 0)</f>
        <v>4.21</v>
      </c>
      <c r="I2376">
        <f t="shared" si="37"/>
        <v>21.05</v>
      </c>
    </row>
    <row r="2377" spans="1:9" x14ac:dyDescent="0.25">
      <c r="A2377">
        <v>359</v>
      </c>
      <c r="B2377" s="1">
        <v>45577</v>
      </c>
      <c r="C2377">
        <v>56</v>
      </c>
      <c r="D2377">
        <v>18</v>
      </c>
      <c r="E2377">
        <v>1</v>
      </c>
      <c r="F2377">
        <v>5</v>
      </c>
      <c r="G2377" t="s">
        <v>1044</v>
      </c>
      <c r="H2377">
        <f>_xlfn.XLOOKUP(D2377, productos!$A$2:$A$150, productos!$D$2:$D$150, "No Encontrado", 0)</f>
        <v>7.25</v>
      </c>
      <c r="I2377">
        <f t="shared" si="37"/>
        <v>7.25</v>
      </c>
    </row>
    <row r="2378" spans="1:9" x14ac:dyDescent="0.25">
      <c r="A2378">
        <v>394</v>
      </c>
      <c r="B2378" s="1">
        <v>45577</v>
      </c>
      <c r="C2378">
        <v>293</v>
      </c>
      <c r="D2378">
        <v>24</v>
      </c>
      <c r="E2378">
        <v>6</v>
      </c>
      <c r="F2378">
        <v>5</v>
      </c>
      <c r="G2378" t="s">
        <v>1044</v>
      </c>
      <c r="H2378">
        <f>_xlfn.XLOOKUP(D2378, productos!$A$2:$A$150, productos!$D$2:$D$150, "No Encontrado", 0)</f>
        <v>13.54</v>
      </c>
      <c r="I2378">
        <f t="shared" si="37"/>
        <v>81.239999999999995</v>
      </c>
    </row>
    <row r="2379" spans="1:9" x14ac:dyDescent="0.25">
      <c r="A2379">
        <v>1748</v>
      </c>
      <c r="B2379" s="1">
        <v>45577</v>
      </c>
      <c r="C2379">
        <v>218</v>
      </c>
      <c r="D2379">
        <v>32</v>
      </c>
      <c r="E2379">
        <v>4</v>
      </c>
      <c r="F2379">
        <v>3</v>
      </c>
      <c r="G2379" t="s">
        <v>1044</v>
      </c>
      <c r="H2379">
        <f>_xlfn.XLOOKUP(D2379, productos!$A$2:$A$150, productos!$D$2:$D$150, "No Encontrado", 0)</f>
        <v>6.25</v>
      </c>
      <c r="I2379">
        <f t="shared" si="37"/>
        <v>25</v>
      </c>
    </row>
    <row r="2380" spans="1:9" x14ac:dyDescent="0.25">
      <c r="A2380">
        <v>2099</v>
      </c>
      <c r="B2380" s="1">
        <v>45577</v>
      </c>
      <c r="C2380">
        <v>147</v>
      </c>
      <c r="D2380">
        <v>34</v>
      </c>
      <c r="E2380">
        <v>1</v>
      </c>
      <c r="F2380">
        <v>5</v>
      </c>
      <c r="G2380" t="s">
        <v>1044</v>
      </c>
      <c r="H2380">
        <f>_xlfn.XLOOKUP(D2380, productos!$A$2:$A$150, productos!$D$2:$D$150, "No Encontrado", 0)</f>
        <v>5.45</v>
      </c>
      <c r="I2380">
        <f t="shared" si="37"/>
        <v>5.45</v>
      </c>
    </row>
    <row r="2381" spans="1:9" x14ac:dyDescent="0.25">
      <c r="A2381">
        <v>2360</v>
      </c>
      <c r="B2381" s="1">
        <v>45577</v>
      </c>
      <c r="C2381">
        <v>250</v>
      </c>
      <c r="D2381">
        <v>21</v>
      </c>
      <c r="E2381">
        <v>1</v>
      </c>
      <c r="F2381">
        <v>4</v>
      </c>
      <c r="G2381" t="s">
        <v>1044</v>
      </c>
      <c r="H2381">
        <f>_xlfn.XLOOKUP(D2381, productos!$A$2:$A$150, productos!$D$2:$D$150, "No Encontrado", 0)</f>
        <v>3.25</v>
      </c>
      <c r="I2381">
        <f t="shared" si="37"/>
        <v>3.25</v>
      </c>
    </row>
    <row r="2382" spans="1:9" x14ac:dyDescent="0.25">
      <c r="A2382">
        <v>2387</v>
      </c>
      <c r="B2382" s="1">
        <v>45577</v>
      </c>
      <c r="C2382">
        <v>22</v>
      </c>
      <c r="D2382">
        <v>32</v>
      </c>
      <c r="E2382">
        <v>2</v>
      </c>
      <c r="F2382">
        <v>4</v>
      </c>
      <c r="G2382" t="s">
        <v>1044</v>
      </c>
      <c r="H2382">
        <f>_xlfn.XLOOKUP(D2382, productos!$A$2:$A$150, productos!$D$2:$D$150, "No Encontrado", 0)</f>
        <v>6.25</v>
      </c>
      <c r="I2382">
        <f t="shared" si="37"/>
        <v>12.5</v>
      </c>
    </row>
    <row r="2383" spans="1:9" x14ac:dyDescent="0.25">
      <c r="A2383">
        <v>2922</v>
      </c>
      <c r="B2383" s="1">
        <v>45577</v>
      </c>
      <c r="C2383">
        <v>230</v>
      </c>
      <c r="D2383">
        <v>22</v>
      </c>
      <c r="E2383">
        <v>4</v>
      </c>
      <c r="F2383">
        <v>1</v>
      </c>
      <c r="G2383" t="s">
        <v>1044</v>
      </c>
      <c r="H2383">
        <f>_xlfn.XLOOKUP(D2383, productos!$A$2:$A$150, productos!$D$2:$D$150, "No Encontrado", 0)</f>
        <v>4.21</v>
      </c>
      <c r="I2383">
        <f t="shared" si="37"/>
        <v>16.84</v>
      </c>
    </row>
    <row r="2384" spans="1:9" x14ac:dyDescent="0.25">
      <c r="A2384">
        <v>859</v>
      </c>
      <c r="B2384" s="1">
        <v>45578</v>
      </c>
      <c r="C2384">
        <v>78</v>
      </c>
      <c r="D2384">
        <v>8</v>
      </c>
      <c r="E2384">
        <v>4</v>
      </c>
      <c r="F2384">
        <v>3</v>
      </c>
      <c r="G2384" t="s">
        <v>1044</v>
      </c>
      <c r="H2384">
        <f>_xlfn.XLOOKUP(D2384, productos!$A$2:$A$150, productos!$D$2:$D$150, "No Encontrado", 0)</f>
        <v>16.21</v>
      </c>
      <c r="I2384">
        <f t="shared" si="37"/>
        <v>64.84</v>
      </c>
    </row>
    <row r="2385" spans="1:9" x14ac:dyDescent="0.25">
      <c r="A2385">
        <v>1836</v>
      </c>
      <c r="B2385" s="1">
        <v>45578</v>
      </c>
      <c r="C2385">
        <v>141</v>
      </c>
      <c r="D2385">
        <v>18</v>
      </c>
      <c r="E2385">
        <v>5</v>
      </c>
      <c r="F2385">
        <v>1</v>
      </c>
      <c r="G2385" t="s">
        <v>1044</v>
      </c>
      <c r="H2385">
        <f>_xlfn.XLOOKUP(D2385, productos!$A$2:$A$150, productos!$D$2:$D$150, "No Encontrado", 0)</f>
        <v>7.25</v>
      </c>
      <c r="I2385">
        <f t="shared" si="37"/>
        <v>36.25</v>
      </c>
    </row>
    <row r="2386" spans="1:9" x14ac:dyDescent="0.25">
      <c r="A2386">
        <v>2113</v>
      </c>
      <c r="B2386" s="1">
        <v>45578</v>
      </c>
      <c r="C2386">
        <v>119</v>
      </c>
      <c r="D2386">
        <v>37</v>
      </c>
      <c r="E2386">
        <v>6</v>
      </c>
      <c r="F2386">
        <v>5</v>
      </c>
      <c r="G2386" t="s">
        <v>1044</v>
      </c>
      <c r="H2386">
        <f>_xlfn.XLOOKUP(D2386, productos!$A$2:$A$150, productos!$D$2:$D$150, "No Encontrado", 0)</f>
        <v>3.65</v>
      </c>
      <c r="I2386">
        <f t="shared" si="37"/>
        <v>21.9</v>
      </c>
    </row>
    <row r="2387" spans="1:9" x14ac:dyDescent="0.25">
      <c r="A2387">
        <v>2370</v>
      </c>
      <c r="B2387" s="1">
        <v>45578</v>
      </c>
      <c r="C2387">
        <v>19</v>
      </c>
      <c r="D2387">
        <v>28</v>
      </c>
      <c r="E2387">
        <v>5</v>
      </c>
      <c r="F2387">
        <v>2</v>
      </c>
      <c r="G2387" t="s">
        <v>1044</v>
      </c>
      <c r="H2387">
        <f>_xlfn.XLOOKUP(D2387, productos!$A$2:$A$150, productos!$D$2:$D$150, "No Encontrado", 0)</f>
        <v>9.4499999999999993</v>
      </c>
      <c r="I2387">
        <f t="shared" si="37"/>
        <v>47.25</v>
      </c>
    </row>
    <row r="2388" spans="1:9" x14ac:dyDescent="0.25">
      <c r="A2388">
        <v>2952</v>
      </c>
      <c r="B2388" s="1">
        <v>45578</v>
      </c>
      <c r="C2388">
        <v>23</v>
      </c>
      <c r="D2388">
        <v>32</v>
      </c>
      <c r="E2388">
        <v>6</v>
      </c>
      <c r="F2388">
        <v>1</v>
      </c>
      <c r="G2388" t="s">
        <v>1044</v>
      </c>
      <c r="H2388">
        <f>_xlfn.XLOOKUP(D2388, productos!$A$2:$A$150, productos!$D$2:$D$150, "No Encontrado", 0)</f>
        <v>6.25</v>
      </c>
      <c r="I2388">
        <f t="shared" si="37"/>
        <v>37.5</v>
      </c>
    </row>
    <row r="2389" spans="1:9" x14ac:dyDescent="0.25">
      <c r="A2389">
        <v>564</v>
      </c>
      <c r="B2389" s="1">
        <v>45579</v>
      </c>
      <c r="C2389">
        <v>11</v>
      </c>
      <c r="D2389">
        <v>35</v>
      </c>
      <c r="E2389">
        <v>5</v>
      </c>
      <c r="F2389">
        <v>1</v>
      </c>
      <c r="G2389" t="s">
        <v>1044</v>
      </c>
      <c r="H2389">
        <f>_xlfn.XLOOKUP(D2389, productos!$A$2:$A$150, productos!$D$2:$D$150, "No Encontrado", 0)</f>
        <v>4.25</v>
      </c>
      <c r="I2389">
        <f t="shared" si="37"/>
        <v>21.25</v>
      </c>
    </row>
    <row r="2390" spans="1:9" x14ac:dyDescent="0.25">
      <c r="A2390">
        <v>856</v>
      </c>
      <c r="B2390" s="1">
        <v>45579</v>
      </c>
      <c r="C2390">
        <v>27</v>
      </c>
      <c r="D2390">
        <v>19</v>
      </c>
      <c r="E2390">
        <v>2</v>
      </c>
      <c r="F2390">
        <v>5</v>
      </c>
      <c r="G2390" t="s">
        <v>1044</v>
      </c>
      <c r="H2390">
        <f>_xlfn.XLOOKUP(D2390, productos!$A$2:$A$150, productos!$D$2:$D$150, "No Encontrado", 0)</f>
        <v>6.54</v>
      </c>
      <c r="I2390">
        <f t="shared" si="37"/>
        <v>13.08</v>
      </c>
    </row>
    <row r="2391" spans="1:9" x14ac:dyDescent="0.25">
      <c r="A2391">
        <v>872</v>
      </c>
      <c r="B2391" s="1">
        <v>45579</v>
      </c>
      <c r="C2391">
        <v>29</v>
      </c>
      <c r="D2391">
        <v>16</v>
      </c>
      <c r="E2391">
        <v>6</v>
      </c>
      <c r="F2391">
        <v>1</v>
      </c>
      <c r="G2391" t="s">
        <v>1044</v>
      </c>
      <c r="H2391">
        <f>_xlfn.XLOOKUP(D2391, productos!$A$2:$A$150, productos!$D$2:$D$150, "No Encontrado", 0)</f>
        <v>15.23</v>
      </c>
      <c r="I2391">
        <f t="shared" si="37"/>
        <v>91.38</v>
      </c>
    </row>
    <row r="2392" spans="1:9" x14ac:dyDescent="0.25">
      <c r="A2392">
        <v>921</v>
      </c>
      <c r="B2392" s="1">
        <v>45579</v>
      </c>
      <c r="C2392">
        <v>46</v>
      </c>
      <c r="D2392">
        <v>21</v>
      </c>
      <c r="E2392">
        <v>2</v>
      </c>
      <c r="F2392">
        <v>5</v>
      </c>
      <c r="G2392" t="s">
        <v>1044</v>
      </c>
      <c r="H2392">
        <f>_xlfn.XLOOKUP(D2392, productos!$A$2:$A$150, productos!$D$2:$D$150, "No Encontrado", 0)</f>
        <v>3.25</v>
      </c>
      <c r="I2392">
        <f t="shared" si="37"/>
        <v>6.5</v>
      </c>
    </row>
    <row r="2393" spans="1:9" x14ac:dyDescent="0.25">
      <c r="A2393">
        <v>1021</v>
      </c>
      <c r="B2393" s="1">
        <v>45579</v>
      </c>
      <c r="C2393">
        <v>24</v>
      </c>
      <c r="D2393">
        <v>20</v>
      </c>
      <c r="E2393">
        <v>6</v>
      </c>
      <c r="F2393">
        <v>2</v>
      </c>
      <c r="G2393" t="s">
        <v>1044</v>
      </c>
      <c r="H2393">
        <f>_xlfn.XLOOKUP(D2393, productos!$A$2:$A$150, productos!$D$2:$D$150, "No Encontrado", 0)</f>
        <v>4.25</v>
      </c>
      <c r="I2393">
        <f t="shared" si="37"/>
        <v>25.5</v>
      </c>
    </row>
    <row r="2394" spans="1:9" x14ac:dyDescent="0.25">
      <c r="A2394">
        <v>1376</v>
      </c>
      <c r="B2394" s="1">
        <v>45579</v>
      </c>
      <c r="C2394">
        <v>61</v>
      </c>
      <c r="D2394">
        <v>16</v>
      </c>
      <c r="E2394">
        <v>1</v>
      </c>
      <c r="F2394">
        <v>2</v>
      </c>
      <c r="G2394" t="s">
        <v>1044</v>
      </c>
      <c r="H2394">
        <f>_xlfn.XLOOKUP(D2394, productos!$A$2:$A$150, productos!$D$2:$D$150, "No Encontrado", 0)</f>
        <v>15.23</v>
      </c>
      <c r="I2394">
        <f t="shared" si="37"/>
        <v>15.23</v>
      </c>
    </row>
    <row r="2395" spans="1:9" x14ac:dyDescent="0.25">
      <c r="A2395">
        <v>1585</v>
      </c>
      <c r="B2395" s="1">
        <v>45579</v>
      </c>
      <c r="C2395">
        <v>297</v>
      </c>
      <c r="D2395">
        <v>9</v>
      </c>
      <c r="E2395">
        <v>2</v>
      </c>
      <c r="F2395">
        <v>4</v>
      </c>
      <c r="G2395" t="s">
        <v>1044</v>
      </c>
      <c r="H2395">
        <f>_xlfn.XLOOKUP(D2395, productos!$A$2:$A$150, productos!$D$2:$D$150, "No Encontrado", 0)</f>
        <v>18.559999999999999</v>
      </c>
      <c r="I2395">
        <f t="shared" si="37"/>
        <v>37.119999999999997</v>
      </c>
    </row>
    <row r="2396" spans="1:9" x14ac:dyDescent="0.25">
      <c r="A2396">
        <v>1768</v>
      </c>
      <c r="B2396" s="1">
        <v>45579</v>
      </c>
      <c r="C2396">
        <v>260</v>
      </c>
      <c r="D2396">
        <v>21</v>
      </c>
      <c r="E2396">
        <v>5</v>
      </c>
      <c r="F2396">
        <v>4</v>
      </c>
      <c r="G2396" t="s">
        <v>1044</v>
      </c>
      <c r="H2396">
        <f>_xlfn.XLOOKUP(D2396, productos!$A$2:$A$150, productos!$D$2:$D$150, "No Encontrado", 0)</f>
        <v>3.25</v>
      </c>
      <c r="I2396">
        <f t="shared" si="37"/>
        <v>16.25</v>
      </c>
    </row>
    <row r="2397" spans="1:9" x14ac:dyDescent="0.25">
      <c r="A2397">
        <v>2374</v>
      </c>
      <c r="B2397" s="1">
        <v>45579</v>
      </c>
      <c r="C2397">
        <v>8</v>
      </c>
      <c r="D2397">
        <v>2</v>
      </c>
      <c r="E2397">
        <v>5</v>
      </c>
      <c r="F2397">
        <v>5</v>
      </c>
      <c r="G2397" t="s">
        <v>1044</v>
      </c>
      <c r="H2397">
        <f>_xlfn.XLOOKUP(D2397, productos!$A$2:$A$150, productos!$D$2:$D$150, "No Encontrado", 0)</f>
        <v>5.21</v>
      </c>
      <c r="I2397">
        <f t="shared" si="37"/>
        <v>26.05</v>
      </c>
    </row>
    <row r="2398" spans="1:9" x14ac:dyDescent="0.25">
      <c r="A2398">
        <v>2829</v>
      </c>
      <c r="B2398" s="1">
        <v>45579</v>
      </c>
      <c r="C2398">
        <v>188</v>
      </c>
      <c r="D2398">
        <v>2</v>
      </c>
      <c r="E2398">
        <v>1</v>
      </c>
      <c r="F2398">
        <v>5</v>
      </c>
      <c r="G2398" t="s">
        <v>1045</v>
      </c>
      <c r="H2398">
        <f>_xlfn.XLOOKUP(D2398, productos!$A$2:$A$150, productos!$D$2:$D$150, "No Encontrado", 0)</f>
        <v>5.21</v>
      </c>
      <c r="I2398">
        <f t="shared" si="37"/>
        <v>5.21</v>
      </c>
    </row>
    <row r="2399" spans="1:9" x14ac:dyDescent="0.25">
      <c r="A2399">
        <v>569</v>
      </c>
      <c r="B2399" s="1">
        <v>45580</v>
      </c>
      <c r="C2399">
        <v>184</v>
      </c>
      <c r="D2399">
        <v>25</v>
      </c>
      <c r="E2399">
        <v>4</v>
      </c>
      <c r="F2399">
        <v>1</v>
      </c>
      <c r="G2399" t="s">
        <v>1044</v>
      </c>
      <c r="H2399">
        <f>_xlfn.XLOOKUP(D2399, productos!$A$2:$A$150, productos!$D$2:$D$150, "No Encontrado", 0)</f>
        <v>15.45</v>
      </c>
      <c r="I2399">
        <f t="shared" si="37"/>
        <v>61.8</v>
      </c>
    </row>
    <row r="2400" spans="1:9" x14ac:dyDescent="0.25">
      <c r="A2400">
        <v>653</v>
      </c>
      <c r="B2400" s="1">
        <v>45580</v>
      </c>
      <c r="C2400">
        <v>29</v>
      </c>
      <c r="D2400">
        <v>3</v>
      </c>
      <c r="E2400">
        <v>1</v>
      </c>
      <c r="F2400">
        <v>3</v>
      </c>
      <c r="G2400" t="s">
        <v>1044</v>
      </c>
      <c r="H2400">
        <f>_xlfn.XLOOKUP(D2400, productos!$A$2:$A$150, productos!$D$2:$D$150, "No Encontrado", 0)</f>
        <v>17.23</v>
      </c>
      <c r="I2400">
        <f t="shared" si="37"/>
        <v>17.23</v>
      </c>
    </row>
    <row r="2401" spans="1:9" x14ac:dyDescent="0.25">
      <c r="A2401">
        <v>918</v>
      </c>
      <c r="B2401" s="1">
        <v>45580</v>
      </c>
      <c r="C2401">
        <v>61</v>
      </c>
      <c r="D2401">
        <v>11</v>
      </c>
      <c r="E2401">
        <v>2</v>
      </c>
      <c r="F2401">
        <v>1</v>
      </c>
      <c r="G2401" t="s">
        <v>1044</v>
      </c>
      <c r="H2401">
        <f>_xlfn.XLOOKUP(D2401, productos!$A$2:$A$150, productos!$D$2:$D$150, "No Encontrado", 0)</f>
        <v>11.23</v>
      </c>
      <c r="I2401">
        <f t="shared" si="37"/>
        <v>22.46</v>
      </c>
    </row>
    <row r="2402" spans="1:9" x14ac:dyDescent="0.25">
      <c r="A2402">
        <v>945</v>
      </c>
      <c r="B2402" s="1">
        <v>45580</v>
      </c>
      <c r="C2402">
        <v>241</v>
      </c>
      <c r="D2402">
        <v>30</v>
      </c>
      <c r="E2402">
        <v>5</v>
      </c>
      <c r="F2402">
        <v>3</v>
      </c>
      <c r="G2402" t="s">
        <v>1044</v>
      </c>
      <c r="H2402">
        <f>_xlfn.XLOOKUP(D2402, productos!$A$2:$A$150, productos!$D$2:$D$150, "No Encontrado", 0)</f>
        <v>13.54</v>
      </c>
      <c r="I2402">
        <f t="shared" si="37"/>
        <v>67.699999999999989</v>
      </c>
    </row>
    <row r="2403" spans="1:9" x14ac:dyDescent="0.25">
      <c r="A2403">
        <v>1024</v>
      </c>
      <c r="B2403" s="1">
        <v>45580</v>
      </c>
      <c r="C2403">
        <v>168</v>
      </c>
      <c r="D2403">
        <v>37</v>
      </c>
      <c r="E2403">
        <v>1</v>
      </c>
      <c r="F2403">
        <v>3</v>
      </c>
      <c r="G2403" t="s">
        <v>1044</v>
      </c>
      <c r="H2403">
        <f>_xlfn.XLOOKUP(D2403, productos!$A$2:$A$150, productos!$D$2:$D$150, "No Encontrado", 0)</f>
        <v>3.65</v>
      </c>
      <c r="I2403">
        <f t="shared" si="37"/>
        <v>3.65</v>
      </c>
    </row>
    <row r="2404" spans="1:9" x14ac:dyDescent="0.25">
      <c r="A2404">
        <v>1374</v>
      </c>
      <c r="B2404" s="1">
        <v>45580</v>
      </c>
      <c r="C2404">
        <v>21</v>
      </c>
      <c r="D2404">
        <v>38</v>
      </c>
      <c r="E2404">
        <v>4</v>
      </c>
      <c r="F2404">
        <v>3</v>
      </c>
      <c r="G2404" t="s">
        <v>1044</v>
      </c>
      <c r="H2404">
        <f>_xlfn.XLOOKUP(D2404, productos!$A$2:$A$150, productos!$D$2:$D$150, "No Encontrado", 0)</f>
        <v>6.21</v>
      </c>
      <c r="I2404">
        <f t="shared" si="37"/>
        <v>24.84</v>
      </c>
    </row>
    <row r="2405" spans="1:9" x14ac:dyDescent="0.25">
      <c r="A2405">
        <v>1469</v>
      </c>
      <c r="B2405" s="1">
        <v>45580</v>
      </c>
      <c r="C2405">
        <v>104</v>
      </c>
      <c r="D2405">
        <v>25</v>
      </c>
      <c r="E2405">
        <v>2</v>
      </c>
      <c r="F2405">
        <v>3</v>
      </c>
      <c r="G2405" t="s">
        <v>1044</v>
      </c>
      <c r="H2405">
        <f>_xlfn.XLOOKUP(D2405, productos!$A$2:$A$150, productos!$D$2:$D$150, "No Encontrado", 0)</f>
        <v>15.45</v>
      </c>
      <c r="I2405">
        <f t="shared" si="37"/>
        <v>30.9</v>
      </c>
    </row>
    <row r="2406" spans="1:9" x14ac:dyDescent="0.25">
      <c r="A2406">
        <v>1538</v>
      </c>
      <c r="B2406" s="1">
        <v>45580</v>
      </c>
      <c r="C2406">
        <v>104</v>
      </c>
      <c r="D2406">
        <v>29</v>
      </c>
      <c r="E2406">
        <v>6</v>
      </c>
      <c r="F2406">
        <v>5</v>
      </c>
      <c r="G2406" t="s">
        <v>1044</v>
      </c>
      <c r="H2406">
        <f>_xlfn.XLOOKUP(D2406, productos!$A$2:$A$150, productos!$D$2:$D$150, "No Encontrado", 0)</f>
        <v>11.54</v>
      </c>
      <c r="I2406">
        <f t="shared" si="37"/>
        <v>69.239999999999995</v>
      </c>
    </row>
    <row r="2407" spans="1:9" x14ac:dyDescent="0.25">
      <c r="A2407">
        <v>2352</v>
      </c>
      <c r="B2407" s="1">
        <v>45580</v>
      </c>
      <c r="C2407">
        <v>193</v>
      </c>
      <c r="D2407">
        <v>31</v>
      </c>
      <c r="E2407">
        <v>6</v>
      </c>
      <c r="F2407">
        <v>1</v>
      </c>
      <c r="G2407" t="s">
        <v>1045</v>
      </c>
      <c r="H2407">
        <f>_xlfn.XLOOKUP(D2407, productos!$A$2:$A$150, productos!$D$2:$D$150, "No Encontrado", 0)</f>
        <v>5.24</v>
      </c>
      <c r="I2407">
        <f t="shared" si="37"/>
        <v>31.44</v>
      </c>
    </row>
    <row r="2408" spans="1:9" x14ac:dyDescent="0.25">
      <c r="A2408">
        <v>2818</v>
      </c>
      <c r="B2408" s="1">
        <v>45580</v>
      </c>
      <c r="C2408">
        <v>310</v>
      </c>
      <c r="D2408">
        <v>30</v>
      </c>
      <c r="E2408">
        <v>2</v>
      </c>
      <c r="F2408">
        <v>4</v>
      </c>
      <c r="G2408" t="s">
        <v>1044</v>
      </c>
      <c r="H2408">
        <f>_xlfn.XLOOKUP(D2408, productos!$A$2:$A$150, productos!$D$2:$D$150, "No Encontrado", 0)</f>
        <v>13.54</v>
      </c>
      <c r="I2408">
        <f t="shared" si="37"/>
        <v>27.08</v>
      </c>
    </row>
    <row r="2409" spans="1:9" x14ac:dyDescent="0.25">
      <c r="A2409">
        <v>2847</v>
      </c>
      <c r="B2409" s="1">
        <v>45580</v>
      </c>
      <c r="C2409">
        <v>180</v>
      </c>
      <c r="D2409">
        <v>15</v>
      </c>
      <c r="E2409">
        <v>2</v>
      </c>
      <c r="F2409">
        <v>5</v>
      </c>
      <c r="G2409" t="s">
        <v>1044</v>
      </c>
      <c r="H2409">
        <f>_xlfn.XLOOKUP(D2409, productos!$A$2:$A$150, productos!$D$2:$D$150, "No Encontrado", 0)</f>
        <v>3.51</v>
      </c>
      <c r="I2409">
        <f t="shared" si="37"/>
        <v>7.02</v>
      </c>
    </row>
    <row r="2410" spans="1:9" x14ac:dyDescent="0.25">
      <c r="A2410">
        <v>605</v>
      </c>
      <c r="B2410" s="1">
        <v>45581</v>
      </c>
      <c r="C2410">
        <v>299</v>
      </c>
      <c r="D2410">
        <v>5</v>
      </c>
      <c r="E2410">
        <v>4</v>
      </c>
      <c r="F2410">
        <v>1</v>
      </c>
      <c r="G2410" t="s">
        <v>1044</v>
      </c>
      <c r="H2410">
        <f>_xlfn.XLOOKUP(D2410, productos!$A$2:$A$150, productos!$D$2:$D$150, "No Encontrado", 0)</f>
        <v>5.65</v>
      </c>
      <c r="I2410">
        <f t="shared" si="37"/>
        <v>22.6</v>
      </c>
    </row>
    <row r="2411" spans="1:9" x14ac:dyDescent="0.25">
      <c r="A2411">
        <v>645</v>
      </c>
      <c r="B2411" s="1">
        <v>45581</v>
      </c>
      <c r="C2411">
        <v>188</v>
      </c>
      <c r="D2411">
        <v>3</v>
      </c>
      <c r="E2411">
        <v>1</v>
      </c>
      <c r="F2411">
        <v>5</v>
      </c>
      <c r="G2411" t="s">
        <v>1044</v>
      </c>
      <c r="H2411">
        <f>_xlfn.XLOOKUP(D2411, productos!$A$2:$A$150, productos!$D$2:$D$150, "No Encontrado", 0)</f>
        <v>17.23</v>
      </c>
      <c r="I2411">
        <f t="shared" si="37"/>
        <v>17.23</v>
      </c>
    </row>
    <row r="2412" spans="1:9" x14ac:dyDescent="0.25">
      <c r="A2412">
        <v>912</v>
      </c>
      <c r="B2412" s="1">
        <v>45581</v>
      </c>
      <c r="C2412">
        <v>306</v>
      </c>
      <c r="D2412">
        <v>19</v>
      </c>
      <c r="E2412">
        <v>6</v>
      </c>
      <c r="F2412">
        <v>2</v>
      </c>
      <c r="G2412" t="s">
        <v>1044</v>
      </c>
      <c r="H2412">
        <f>_xlfn.XLOOKUP(D2412, productos!$A$2:$A$150, productos!$D$2:$D$150, "No Encontrado", 0)</f>
        <v>6.54</v>
      </c>
      <c r="I2412">
        <f t="shared" si="37"/>
        <v>39.24</v>
      </c>
    </row>
    <row r="2413" spans="1:9" x14ac:dyDescent="0.25">
      <c r="A2413">
        <v>1018</v>
      </c>
      <c r="B2413" s="1">
        <v>45581</v>
      </c>
      <c r="C2413">
        <v>291</v>
      </c>
      <c r="D2413">
        <v>14</v>
      </c>
      <c r="E2413">
        <v>3</v>
      </c>
      <c r="F2413">
        <v>4</v>
      </c>
      <c r="G2413" t="s">
        <v>1044</v>
      </c>
      <c r="H2413">
        <f>_xlfn.XLOOKUP(D2413, productos!$A$2:$A$150, productos!$D$2:$D$150, "No Encontrado", 0)</f>
        <v>12.36</v>
      </c>
      <c r="I2413">
        <f t="shared" si="37"/>
        <v>37.08</v>
      </c>
    </row>
    <row r="2414" spans="1:9" x14ac:dyDescent="0.25">
      <c r="A2414">
        <v>1020</v>
      </c>
      <c r="B2414" s="1">
        <v>45581</v>
      </c>
      <c r="C2414">
        <v>61</v>
      </c>
      <c r="D2414">
        <v>32</v>
      </c>
      <c r="E2414">
        <v>6</v>
      </c>
      <c r="F2414">
        <v>5</v>
      </c>
      <c r="G2414" t="s">
        <v>1044</v>
      </c>
      <c r="H2414">
        <f>_xlfn.XLOOKUP(D2414, productos!$A$2:$A$150, productos!$D$2:$D$150, "No Encontrado", 0)</f>
        <v>6.25</v>
      </c>
      <c r="I2414">
        <f t="shared" si="37"/>
        <v>37.5</v>
      </c>
    </row>
    <row r="2415" spans="1:9" x14ac:dyDescent="0.25">
      <c r="A2415">
        <v>1222</v>
      </c>
      <c r="B2415" s="1">
        <v>45581</v>
      </c>
      <c r="C2415">
        <v>82</v>
      </c>
      <c r="D2415">
        <v>27</v>
      </c>
      <c r="E2415">
        <v>3</v>
      </c>
      <c r="F2415">
        <v>4</v>
      </c>
      <c r="G2415" t="s">
        <v>1045</v>
      </c>
      <c r="H2415">
        <f>_xlfn.XLOOKUP(D2415, productos!$A$2:$A$150, productos!$D$2:$D$150, "No Encontrado", 0)</f>
        <v>6.21</v>
      </c>
      <c r="I2415">
        <f t="shared" si="37"/>
        <v>18.63</v>
      </c>
    </row>
    <row r="2416" spans="1:9" x14ac:dyDescent="0.25">
      <c r="A2416">
        <v>1277</v>
      </c>
      <c r="B2416" s="1">
        <v>45581</v>
      </c>
      <c r="C2416">
        <v>163</v>
      </c>
      <c r="D2416">
        <v>2</v>
      </c>
      <c r="E2416">
        <v>2</v>
      </c>
      <c r="F2416">
        <v>4</v>
      </c>
      <c r="G2416" t="s">
        <v>1044</v>
      </c>
      <c r="H2416">
        <f>_xlfn.XLOOKUP(D2416, productos!$A$2:$A$150, productos!$D$2:$D$150, "No Encontrado", 0)</f>
        <v>5.21</v>
      </c>
      <c r="I2416">
        <f t="shared" si="37"/>
        <v>10.42</v>
      </c>
    </row>
    <row r="2417" spans="1:9" x14ac:dyDescent="0.25">
      <c r="A2417">
        <v>1322</v>
      </c>
      <c r="B2417" s="1">
        <v>45581</v>
      </c>
      <c r="C2417">
        <v>60</v>
      </c>
      <c r="D2417">
        <v>21</v>
      </c>
      <c r="E2417">
        <v>2</v>
      </c>
      <c r="F2417">
        <v>4</v>
      </c>
      <c r="G2417" t="s">
        <v>1045</v>
      </c>
      <c r="H2417">
        <f>_xlfn.XLOOKUP(D2417, productos!$A$2:$A$150, productos!$D$2:$D$150, "No Encontrado", 0)</f>
        <v>3.25</v>
      </c>
      <c r="I2417">
        <f t="shared" si="37"/>
        <v>6.5</v>
      </c>
    </row>
    <row r="2418" spans="1:9" x14ac:dyDescent="0.25">
      <c r="A2418">
        <v>1392</v>
      </c>
      <c r="B2418" s="1">
        <v>45581</v>
      </c>
      <c r="C2418">
        <v>49</v>
      </c>
      <c r="D2418">
        <v>28</v>
      </c>
      <c r="E2418">
        <v>4</v>
      </c>
      <c r="F2418">
        <v>3</v>
      </c>
      <c r="G2418" t="s">
        <v>1044</v>
      </c>
      <c r="H2418">
        <f>_xlfn.XLOOKUP(D2418, productos!$A$2:$A$150, productos!$D$2:$D$150, "No Encontrado", 0)</f>
        <v>9.4499999999999993</v>
      </c>
      <c r="I2418">
        <f t="shared" si="37"/>
        <v>37.799999999999997</v>
      </c>
    </row>
    <row r="2419" spans="1:9" x14ac:dyDescent="0.25">
      <c r="A2419">
        <v>1446</v>
      </c>
      <c r="B2419" s="1">
        <v>45581</v>
      </c>
      <c r="C2419">
        <v>9</v>
      </c>
      <c r="D2419">
        <v>20</v>
      </c>
      <c r="E2419">
        <v>3</v>
      </c>
      <c r="F2419">
        <v>4</v>
      </c>
      <c r="G2419" t="s">
        <v>1045</v>
      </c>
      <c r="H2419">
        <f>_xlfn.XLOOKUP(D2419, productos!$A$2:$A$150, productos!$D$2:$D$150, "No Encontrado", 0)</f>
        <v>4.25</v>
      </c>
      <c r="I2419">
        <f t="shared" si="37"/>
        <v>12.75</v>
      </c>
    </row>
    <row r="2420" spans="1:9" x14ac:dyDescent="0.25">
      <c r="A2420">
        <v>2816</v>
      </c>
      <c r="B2420" s="1">
        <v>45581</v>
      </c>
      <c r="C2420">
        <v>287</v>
      </c>
      <c r="D2420">
        <v>34</v>
      </c>
      <c r="E2420">
        <v>6</v>
      </c>
      <c r="F2420">
        <v>3</v>
      </c>
      <c r="G2420" t="s">
        <v>1044</v>
      </c>
      <c r="H2420">
        <f>_xlfn.XLOOKUP(D2420, productos!$A$2:$A$150, productos!$D$2:$D$150, "No Encontrado", 0)</f>
        <v>5.45</v>
      </c>
      <c r="I2420">
        <f t="shared" si="37"/>
        <v>32.700000000000003</v>
      </c>
    </row>
    <row r="2421" spans="1:9" x14ac:dyDescent="0.25">
      <c r="A2421">
        <v>415</v>
      </c>
      <c r="B2421" s="1">
        <v>45582</v>
      </c>
      <c r="C2421">
        <v>148</v>
      </c>
      <c r="D2421">
        <v>21</v>
      </c>
      <c r="E2421">
        <v>1</v>
      </c>
      <c r="F2421">
        <v>4</v>
      </c>
      <c r="G2421" t="s">
        <v>1044</v>
      </c>
      <c r="H2421">
        <f>_xlfn.XLOOKUP(D2421, productos!$A$2:$A$150, productos!$D$2:$D$150, "No Encontrado", 0)</f>
        <v>3.25</v>
      </c>
      <c r="I2421">
        <f t="shared" si="37"/>
        <v>3.25</v>
      </c>
    </row>
    <row r="2422" spans="1:9" x14ac:dyDescent="0.25">
      <c r="A2422">
        <v>435</v>
      </c>
      <c r="B2422" s="1">
        <v>45582</v>
      </c>
      <c r="C2422">
        <v>70</v>
      </c>
      <c r="D2422">
        <v>31</v>
      </c>
      <c r="E2422">
        <v>3</v>
      </c>
      <c r="F2422">
        <v>5</v>
      </c>
      <c r="G2422" t="s">
        <v>1044</v>
      </c>
      <c r="H2422">
        <f>_xlfn.XLOOKUP(D2422, productos!$A$2:$A$150, productos!$D$2:$D$150, "No Encontrado", 0)</f>
        <v>5.24</v>
      </c>
      <c r="I2422">
        <f t="shared" si="37"/>
        <v>15.72</v>
      </c>
    </row>
    <row r="2423" spans="1:9" x14ac:dyDescent="0.25">
      <c r="A2423">
        <v>1209</v>
      </c>
      <c r="B2423" s="1">
        <v>45582</v>
      </c>
      <c r="C2423">
        <v>19</v>
      </c>
      <c r="D2423">
        <v>28</v>
      </c>
      <c r="E2423">
        <v>3</v>
      </c>
      <c r="F2423">
        <v>4</v>
      </c>
      <c r="G2423" t="s">
        <v>1044</v>
      </c>
      <c r="H2423">
        <f>_xlfn.XLOOKUP(D2423, productos!$A$2:$A$150, productos!$D$2:$D$150, "No Encontrado", 0)</f>
        <v>9.4499999999999993</v>
      </c>
      <c r="I2423">
        <f t="shared" si="37"/>
        <v>28.349999999999998</v>
      </c>
    </row>
    <row r="2424" spans="1:9" x14ac:dyDescent="0.25">
      <c r="A2424">
        <v>1453</v>
      </c>
      <c r="B2424" s="1">
        <v>45582</v>
      </c>
      <c r="C2424">
        <v>275</v>
      </c>
      <c r="D2424">
        <v>25</v>
      </c>
      <c r="E2424">
        <v>4</v>
      </c>
      <c r="F2424">
        <v>5</v>
      </c>
      <c r="G2424" t="s">
        <v>1044</v>
      </c>
      <c r="H2424">
        <f>_xlfn.XLOOKUP(D2424, productos!$A$2:$A$150, productos!$D$2:$D$150, "No Encontrado", 0)</f>
        <v>15.45</v>
      </c>
      <c r="I2424">
        <f t="shared" si="37"/>
        <v>61.8</v>
      </c>
    </row>
    <row r="2425" spans="1:9" x14ac:dyDescent="0.25">
      <c r="A2425">
        <v>1596</v>
      </c>
      <c r="B2425" s="1">
        <v>45582</v>
      </c>
      <c r="C2425">
        <v>85</v>
      </c>
      <c r="D2425">
        <v>26</v>
      </c>
      <c r="E2425">
        <v>2</v>
      </c>
      <c r="F2425">
        <v>5</v>
      </c>
      <c r="G2425" t="s">
        <v>1044</v>
      </c>
      <c r="H2425">
        <f>_xlfn.XLOOKUP(D2425, productos!$A$2:$A$150, productos!$D$2:$D$150, "No Encontrado", 0)</f>
        <v>9.5399999999999991</v>
      </c>
      <c r="I2425">
        <f t="shared" si="37"/>
        <v>19.079999999999998</v>
      </c>
    </row>
    <row r="2426" spans="1:9" x14ac:dyDescent="0.25">
      <c r="A2426">
        <v>1969</v>
      </c>
      <c r="B2426" s="1">
        <v>45582</v>
      </c>
      <c r="C2426">
        <v>233</v>
      </c>
      <c r="D2426">
        <v>29</v>
      </c>
      <c r="E2426">
        <v>1</v>
      </c>
      <c r="F2426">
        <v>1</v>
      </c>
      <c r="G2426" t="s">
        <v>1044</v>
      </c>
      <c r="H2426">
        <f>_xlfn.XLOOKUP(D2426, productos!$A$2:$A$150, productos!$D$2:$D$150, "No Encontrado", 0)</f>
        <v>11.54</v>
      </c>
      <c r="I2426">
        <f t="shared" si="37"/>
        <v>11.54</v>
      </c>
    </row>
    <row r="2427" spans="1:9" x14ac:dyDescent="0.25">
      <c r="A2427">
        <v>2120</v>
      </c>
      <c r="B2427" s="1">
        <v>45582</v>
      </c>
      <c r="C2427">
        <v>316</v>
      </c>
      <c r="D2427">
        <v>13</v>
      </c>
      <c r="E2427">
        <v>5</v>
      </c>
      <c r="F2427">
        <v>3</v>
      </c>
      <c r="G2427" t="s">
        <v>1044</v>
      </c>
      <c r="H2427">
        <f>_xlfn.XLOOKUP(D2427, productos!$A$2:$A$150, productos!$D$2:$D$150, "No Encontrado", 0)</f>
        <v>12.56</v>
      </c>
      <c r="I2427">
        <f t="shared" si="37"/>
        <v>62.800000000000004</v>
      </c>
    </row>
    <row r="2428" spans="1:9" x14ac:dyDescent="0.25">
      <c r="A2428">
        <v>2171</v>
      </c>
      <c r="B2428" s="1">
        <v>45582</v>
      </c>
      <c r="C2428">
        <v>106</v>
      </c>
      <c r="D2428">
        <v>30</v>
      </c>
      <c r="E2428">
        <v>2</v>
      </c>
      <c r="F2428">
        <v>3</v>
      </c>
      <c r="G2428" t="s">
        <v>1044</v>
      </c>
      <c r="H2428">
        <f>_xlfn.XLOOKUP(D2428, productos!$A$2:$A$150, productos!$D$2:$D$150, "No Encontrado", 0)</f>
        <v>13.54</v>
      </c>
      <c r="I2428">
        <f t="shared" si="37"/>
        <v>27.08</v>
      </c>
    </row>
    <row r="2429" spans="1:9" x14ac:dyDescent="0.25">
      <c r="A2429">
        <v>2231</v>
      </c>
      <c r="B2429" s="1">
        <v>45582</v>
      </c>
      <c r="C2429">
        <v>6</v>
      </c>
      <c r="D2429">
        <v>19</v>
      </c>
      <c r="E2429">
        <v>3</v>
      </c>
      <c r="F2429">
        <v>3</v>
      </c>
      <c r="G2429" t="s">
        <v>1044</v>
      </c>
      <c r="H2429">
        <f>_xlfn.XLOOKUP(D2429, productos!$A$2:$A$150, productos!$D$2:$D$150, "No Encontrado", 0)</f>
        <v>6.54</v>
      </c>
      <c r="I2429">
        <f t="shared" si="37"/>
        <v>19.62</v>
      </c>
    </row>
    <row r="2430" spans="1:9" x14ac:dyDescent="0.25">
      <c r="A2430">
        <v>2679</v>
      </c>
      <c r="B2430" s="1">
        <v>45582</v>
      </c>
      <c r="C2430">
        <v>63</v>
      </c>
      <c r="D2430">
        <v>3</v>
      </c>
      <c r="E2430">
        <v>1</v>
      </c>
      <c r="F2430">
        <v>1</v>
      </c>
      <c r="G2430" t="s">
        <v>1044</v>
      </c>
      <c r="H2430">
        <f>_xlfn.XLOOKUP(D2430, productos!$A$2:$A$150, productos!$D$2:$D$150, "No Encontrado", 0)</f>
        <v>17.23</v>
      </c>
      <c r="I2430">
        <f t="shared" si="37"/>
        <v>17.23</v>
      </c>
    </row>
    <row r="2431" spans="1:9" x14ac:dyDescent="0.25">
      <c r="A2431">
        <v>630</v>
      </c>
      <c r="B2431" s="1">
        <v>45583</v>
      </c>
      <c r="C2431">
        <v>290</v>
      </c>
      <c r="D2431">
        <v>18</v>
      </c>
      <c r="E2431">
        <v>5</v>
      </c>
      <c r="F2431">
        <v>2</v>
      </c>
      <c r="G2431" t="s">
        <v>1044</v>
      </c>
      <c r="H2431">
        <f>_xlfn.XLOOKUP(D2431, productos!$A$2:$A$150, productos!$D$2:$D$150, "No Encontrado", 0)</f>
        <v>7.25</v>
      </c>
      <c r="I2431">
        <f t="shared" si="37"/>
        <v>36.25</v>
      </c>
    </row>
    <row r="2432" spans="1:9" x14ac:dyDescent="0.25">
      <c r="A2432">
        <v>955</v>
      </c>
      <c r="B2432" s="1">
        <v>45583</v>
      </c>
      <c r="C2432">
        <v>196</v>
      </c>
      <c r="D2432">
        <v>6</v>
      </c>
      <c r="E2432">
        <v>3</v>
      </c>
      <c r="F2432">
        <v>4</v>
      </c>
      <c r="G2432" t="s">
        <v>1044</v>
      </c>
      <c r="H2432">
        <f>_xlfn.XLOOKUP(D2432, productos!$A$2:$A$150, productos!$D$2:$D$150, "No Encontrado", 0)</f>
        <v>28.56</v>
      </c>
      <c r="I2432">
        <f t="shared" si="37"/>
        <v>85.679999999999993</v>
      </c>
    </row>
    <row r="2433" spans="1:9" x14ac:dyDescent="0.25">
      <c r="A2433">
        <v>966</v>
      </c>
      <c r="B2433" s="1">
        <v>45583</v>
      </c>
      <c r="C2433">
        <v>120</v>
      </c>
      <c r="D2433">
        <v>22</v>
      </c>
      <c r="E2433">
        <v>1</v>
      </c>
      <c r="F2433">
        <v>4</v>
      </c>
      <c r="G2433" t="s">
        <v>1045</v>
      </c>
      <c r="H2433">
        <f>_xlfn.XLOOKUP(D2433, productos!$A$2:$A$150, productos!$D$2:$D$150, "No Encontrado", 0)</f>
        <v>4.21</v>
      </c>
      <c r="I2433">
        <f t="shared" si="37"/>
        <v>4.21</v>
      </c>
    </row>
    <row r="2434" spans="1:9" x14ac:dyDescent="0.25">
      <c r="A2434">
        <v>2131</v>
      </c>
      <c r="B2434" s="1">
        <v>45583</v>
      </c>
      <c r="C2434">
        <v>315</v>
      </c>
      <c r="D2434">
        <v>5</v>
      </c>
      <c r="E2434">
        <v>5</v>
      </c>
      <c r="F2434">
        <v>5</v>
      </c>
      <c r="G2434" t="s">
        <v>1044</v>
      </c>
      <c r="H2434">
        <f>_xlfn.XLOOKUP(D2434, productos!$A$2:$A$150, productos!$D$2:$D$150, "No Encontrado", 0)</f>
        <v>5.65</v>
      </c>
      <c r="I2434">
        <f t="shared" si="37"/>
        <v>28.25</v>
      </c>
    </row>
    <row r="2435" spans="1:9" x14ac:dyDescent="0.25">
      <c r="A2435">
        <v>2386</v>
      </c>
      <c r="B2435" s="1">
        <v>45583</v>
      </c>
      <c r="C2435">
        <v>102</v>
      </c>
      <c r="D2435">
        <v>15</v>
      </c>
      <c r="E2435">
        <v>5</v>
      </c>
      <c r="F2435">
        <v>5</v>
      </c>
      <c r="G2435" t="s">
        <v>1044</v>
      </c>
      <c r="H2435">
        <f>_xlfn.XLOOKUP(D2435, productos!$A$2:$A$150, productos!$D$2:$D$150, "No Encontrado", 0)</f>
        <v>3.51</v>
      </c>
      <c r="I2435">
        <f t="shared" ref="I2435:I2498" si="38">E2435*H2435</f>
        <v>17.549999999999997</v>
      </c>
    </row>
    <row r="2436" spans="1:9" x14ac:dyDescent="0.25">
      <c r="A2436">
        <v>2739</v>
      </c>
      <c r="B2436" s="1">
        <v>45583</v>
      </c>
      <c r="C2436">
        <v>6</v>
      </c>
      <c r="D2436">
        <v>1</v>
      </c>
      <c r="E2436">
        <v>4</v>
      </c>
      <c r="F2436">
        <v>5</v>
      </c>
      <c r="G2436" t="s">
        <v>1044</v>
      </c>
      <c r="H2436">
        <f>_xlfn.XLOOKUP(D2436, productos!$A$2:$A$150, productos!$D$2:$D$150, "No Encontrado", 0)</f>
        <v>12.24</v>
      </c>
      <c r="I2436">
        <f t="shared" si="38"/>
        <v>48.96</v>
      </c>
    </row>
    <row r="2437" spans="1:9" x14ac:dyDescent="0.25">
      <c r="A2437">
        <v>439</v>
      </c>
      <c r="B2437" s="1">
        <v>45584</v>
      </c>
      <c r="C2437">
        <v>207</v>
      </c>
      <c r="D2437">
        <v>36</v>
      </c>
      <c r="E2437">
        <v>2</v>
      </c>
      <c r="F2437">
        <v>2</v>
      </c>
      <c r="G2437" t="s">
        <v>1044</v>
      </c>
      <c r="H2437">
        <f>_xlfn.XLOOKUP(D2437, productos!$A$2:$A$150, productos!$D$2:$D$150, "No Encontrado", 0)</f>
        <v>3.25</v>
      </c>
      <c r="I2437">
        <f t="shared" si="38"/>
        <v>6.5</v>
      </c>
    </row>
    <row r="2438" spans="1:9" x14ac:dyDescent="0.25">
      <c r="A2438">
        <v>530</v>
      </c>
      <c r="B2438" s="1">
        <v>45584</v>
      </c>
      <c r="C2438">
        <v>31</v>
      </c>
      <c r="D2438">
        <v>31</v>
      </c>
      <c r="E2438">
        <v>6</v>
      </c>
      <c r="F2438">
        <v>3</v>
      </c>
      <c r="G2438" t="s">
        <v>1044</v>
      </c>
      <c r="H2438">
        <f>_xlfn.XLOOKUP(D2438, productos!$A$2:$A$150, productos!$D$2:$D$150, "No Encontrado", 0)</f>
        <v>5.24</v>
      </c>
      <c r="I2438">
        <f t="shared" si="38"/>
        <v>31.44</v>
      </c>
    </row>
    <row r="2439" spans="1:9" x14ac:dyDescent="0.25">
      <c r="A2439">
        <v>978</v>
      </c>
      <c r="B2439" s="1">
        <v>45584</v>
      </c>
      <c r="C2439">
        <v>116</v>
      </c>
      <c r="D2439">
        <v>19</v>
      </c>
      <c r="E2439">
        <v>3</v>
      </c>
      <c r="F2439">
        <v>5</v>
      </c>
      <c r="G2439" t="s">
        <v>1044</v>
      </c>
      <c r="H2439">
        <f>_xlfn.XLOOKUP(D2439, productos!$A$2:$A$150, productos!$D$2:$D$150, "No Encontrado", 0)</f>
        <v>6.54</v>
      </c>
      <c r="I2439">
        <f t="shared" si="38"/>
        <v>19.62</v>
      </c>
    </row>
    <row r="2440" spans="1:9" x14ac:dyDescent="0.25">
      <c r="A2440">
        <v>1062</v>
      </c>
      <c r="B2440" s="1">
        <v>45584</v>
      </c>
      <c r="C2440">
        <v>141</v>
      </c>
      <c r="D2440">
        <v>34</v>
      </c>
      <c r="E2440">
        <v>3</v>
      </c>
      <c r="F2440">
        <v>5</v>
      </c>
      <c r="G2440" t="s">
        <v>1045</v>
      </c>
      <c r="H2440">
        <f>_xlfn.XLOOKUP(D2440, productos!$A$2:$A$150, productos!$D$2:$D$150, "No Encontrado", 0)</f>
        <v>5.45</v>
      </c>
      <c r="I2440">
        <f t="shared" si="38"/>
        <v>16.350000000000001</v>
      </c>
    </row>
    <row r="2441" spans="1:9" x14ac:dyDescent="0.25">
      <c r="A2441">
        <v>1579</v>
      </c>
      <c r="B2441" s="1">
        <v>45584</v>
      </c>
      <c r="C2441">
        <v>20</v>
      </c>
      <c r="D2441">
        <v>22</v>
      </c>
      <c r="E2441">
        <v>1</v>
      </c>
      <c r="F2441">
        <v>3</v>
      </c>
      <c r="G2441" t="s">
        <v>1044</v>
      </c>
      <c r="H2441">
        <f>_xlfn.XLOOKUP(D2441, productos!$A$2:$A$150, productos!$D$2:$D$150, "No Encontrado", 0)</f>
        <v>4.21</v>
      </c>
      <c r="I2441">
        <f t="shared" si="38"/>
        <v>4.21</v>
      </c>
    </row>
    <row r="2442" spans="1:9" x14ac:dyDescent="0.25">
      <c r="A2442">
        <v>1719</v>
      </c>
      <c r="B2442" s="1">
        <v>45584</v>
      </c>
      <c r="C2442">
        <v>1</v>
      </c>
      <c r="D2442">
        <v>11</v>
      </c>
      <c r="E2442">
        <v>3</v>
      </c>
      <c r="F2442">
        <v>5</v>
      </c>
      <c r="G2442" t="s">
        <v>1044</v>
      </c>
      <c r="H2442">
        <f>_xlfn.XLOOKUP(D2442, productos!$A$2:$A$150, productos!$D$2:$D$150, "No Encontrado", 0)</f>
        <v>11.23</v>
      </c>
      <c r="I2442">
        <f t="shared" si="38"/>
        <v>33.69</v>
      </c>
    </row>
    <row r="2443" spans="1:9" x14ac:dyDescent="0.25">
      <c r="A2443">
        <v>2115</v>
      </c>
      <c r="B2443" s="1">
        <v>45584</v>
      </c>
      <c r="C2443">
        <v>250</v>
      </c>
      <c r="D2443">
        <v>29</v>
      </c>
      <c r="E2443">
        <v>4</v>
      </c>
      <c r="F2443">
        <v>5</v>
      </c>
      <c r="G2443" t="s">
        <v>1045</v>
      </c>
      <c r="H2443">
        <f>_xlfn.XLOOKUP(D2443, productos!$A$2:$A$150, productos!$D$2:$D$150, "No Encontrado", 0)</f>
        <v>11.54</v>
      </c>
      <c r="I2443">
        <f t="shared" si="38"/>
        <v>46.16</v>
      </c>
    </row>
    <row r="2444" spans="1:9" x14ac:dyDescent="0.25">
      <c r="A2444">
        <v>2312</v>
      </c>
      <c r="B2444" s="1">
        <v>45584</v>
      </c>
      <c r="C2444">
        <v>22</v>
      </c>
      <c r="D2444">
        <v>20</v>
      </c>
      <c r="E2444">
        <v>5</v>
      </c>
      <c r="F2444">
        <v>5</v>
      </c>
      <c r="G2444" t="s">
        <v>1044</v>
      </c>
      <c r="H2444">
        <f>_xlfn.XLOOKUP(D2444, productos!$A$2:$A$150, productos!$D$2:$D$150, "No Encontrado", 0)</f>
        <v>4.25</v>
      </c>
      <c r="I2444">
        <f t="shared" si="38"/>
        <v>21.25</v>
      </c>
    </row>
    <row r="2445" spans="1:9" x14ac:dyDescent="0.25">
      <c r="A2445">
        <v>2371</v>
      </c>
      <c r="B2445" s="1">
        <v>45584</v>
      </c>
      <c r="C2445">
        <v>264</v>
      </c>
      <c r="D2445">
        <v>6</v>
      </c>
      <c r="E2445">
        <v>3</v>
      </c>
      <c r="F2445">
        <v>3</v>
      </c>
      <c r="G2445" t="s">
        <v>1044</v>
      </c>
      <c r="H2445">
        <f>_xlfn.XLOOKUP(D2445, productos!$A$2:$A$150, productos!$D$2:$D$150, "No Encontrado", 0)</f>
        <v>28.56</v>
      </c>
      <c r="I2445">
        <f t="shared" si="38"/>
        <v>85.679999999999993</v>
      </c>
    </row>
    <row r="2446" spans="1:9" x14ac:dyDescent="0.25">
      <c r="A2446">
        <v>2422</v>
      </c>
      <c r="B2446" s="1">
        <v>45584</v>
      </c>
      <c r="C2446">
        <v>219</v>
      </c>
      <c r="D2446">
        <v>4</v>
      </c>
      <c r="E2446">
        <v>1</v>
      </c>
      <c r="F2446">
        <v>1</v>
      </c>
      <c r="G2446" t="s">
        <v>1044</v>
      </c>
      <c r="H2446">
        <f>_xlfn.XLOOKUP(D2446, productos!$A$2:$A$150, productos!$D$2:$D$150, "No Encontrado", 0)</f>
        <v>19.23</v>
      </c>
      <c r="I2446">
        <f t="shared" si="38"/>
        <v>19.23</v>
      </c>
    </row>
    <row r="2447" spans="1:9" x14ac:dyDescent="0.25">
      <c r="A2447">
        <v>2542</v>
      </c>
      <c r="B2447" s="1">
        <v>45584</v>
      </c>
      <c r="C2447">
        <v>189</v>
      </c>
      <c r="D2447">
        <v>25</v>
      </c>
      <c r="E2447">
        <v>4</v>
      </c>
      <c r="F2447">
        <v>4</v>
      </c>
      <c r="G2447" t="s">
        <v>1045</v>
      </c>
      <c r="H2447">
        <f>_xlfn.XLOOKUP(D2447, productos!$A$2:$A$150, productos!$D$2:$D$150, "No Encontrado", 0)</f>
        <v>15.45</v>
      </c>
      <c r="I2447">
        <f t="shared" si="38"/>
        <v>61.8</v>
      </c>
    </row>
    <row r="2448" spans="1:9" x14ac:dyDescent="0.25">
      <c r="A2448">
        <v>752</v>
      </c>
      <c r="B2448" s="1">
        <v>45585</v>
      </c>
      <c r="C2448">
        <v>48</v>
      </c>
      <c r="D2448">
        <v>24</v>
      </c>
      <c r="E2448">
        <v>3</v>
      </c>
      <c r="F2448">
        <v>4</v>
      </c>
      <c r="G2448" t="s">
        <v>1044</v>
      </c>
      <c r="H2448">
        <f>_xlfn.XLOOKUP(D2448, productos!$A$2:$A$150, productos!$D$2:$D$150, "No Encontrado", 0)</f>
        <v>13.54</v>
      </c>
      <c r="I2448">
        <f t="shared" si="38"/>
        <v>40.619999999999997</v>
      </c>
    </row>
    <row r="2449" spans="1:9" x14ac:dyDescent="0.25">
      <c r="A2449">
        <v>823</v>
      </c>
      <c r="B2449" s="1">
        <v>45585</v>
      </c>
      <c r="C2449">
        <v>225</v>
      </c>
      <c r="D2449">
        <v>14</v>
      </c>
      <c r="E2449">
        <v>6</v>
      </c>
      <c r="F2449">
        <v>4</v>
      </c>
      <c r="G2449" t="s">
        <v>1044</v>
      </c>
      <c r="H2449">
        <f>_xlfn.XLOOKUP(D2449, productos!$A$2:$A$150, productos!$D$2:$D$150, "No Encontrado", 0)</f>
        <v>12.36</v>
      </c>
      <c r="I2449">
        <f t="shared" si="38"/>
        <v>74.16</v>
      </c>
    </row>
    <row r="2450" spans="1:9" x14ac:dyDescent="0.25">
      <c r="A2450">
        <v>841</v>
      </c>
      <c r="B2450" s="1">
        <v>45585</v>
      </c>
      <c r="C2450">
        <v>280</v>
      </c>
      <c r="D2450">
        <v>11</v>
      </c>
      <c r="E2450">
        <v>2</v>
      </c>
      <c r="F2450">
        <v>5</v>
      </c>
      <c r="G2450" t="s">
        <v>1045</v>
      </c>
      <c r="H2450">
        <f>_xlfn.XLOOKUP(D2450, productos!$A$2:$A$150, productos!$D$2:$D$150, "No Encontrado", 0)</f>
        <v>11.23</v>
      </c>
      <c r="I2450">
        <f t="shared" si="38"/>
        <v>22.46</v>
      </c>
    </row>
    <row r="2451" spans="1:9" x14ac:dyDescent="0.25">
      <c r="A2451">
        <v>910</v>
      </c>
      <c r="B2451" s="1">
        <v>45585</v>
      </c>
      <c r="C2451">
        <v>208</v>
      </c>
      <c r="D2451">
        <v>24</v>
      </c>
      <c r="E2451">
        <v>5</v>
      </c>
      <c r="F2451">
        <v>5</v>
      </c>
      <c r="G2451" t="s">
        <v>1044</v>
      </c>
      <c r="H2451">
        <f>_xlfn.XLOOKUP(D2451, productos!$A$2:$A$150, productos!$D$2:$D$150, "No Encontrado", 0)</f>
        <v>13.54</v>
      </c>
      <c r="I2451">
        <f t="shared" si="38"/>
        <v>67.699999999999989</v>
      </c>
    </row>
    <row r="2452" spans="1:9" x14ac:dyDescent="0.25">
      <c r="A2452">
        <v>1356</v>
      </c>
      <c r="B2452" s="1">
        <v>45585</v>
      </c>
      <c r="C2452">
        <v>228</v>
      </c>
      <c r="D2452">
        <v>4</v>
      </c>
      <c r="E2452">
        <v>6</v>
      </c>
      <c r="F2452">
        <v>2</v>
      </c>
      <c r="G2452" t="s">
        <v>1044</v>
      </c>
      <c r="H2452">
        <f>_xlfn.XLOOKUP(D2452, productos!$A$2:$A$150, productos!$D$2:$D$150, "No Encontrado", 0)</f>
        <v>19.23</v>
      </c>
      <c r="I2452">
        <f t="shared" si="38"/>
        <v>115.38</v>
      </c>
    </row>
    <row r="2453" spans="1:9" x14ac:dyDescent="0.25">
      <c r="A2453">
        <v>1391</v>
      </c>
      <c r="B2453" s="1">
        <v>45585</v>
      </c>
      <c r="C2453">
        <v>6</v>
      </c>
      <c r="D2453">
        <v>22</v>
      </c>
      <c r="E2453">
        <v>2</v>
      </c>
      <c r="F2453">
        <v>1</v>
      </c>
      <c r="G2453" t="s">
        <v>1044</v>
      </c>
      <c r="H2453">
        <f>_xlfn.XLOOKUP(D2453, productos!$A$2:$A$150, productos!$D$2:$D$150, "No Encontrado", 0)</f>
        <v>4.21</v>
      </c>
      <c r="I2453">
        <f t="shared" si="38"/>
        <v>8.42</v>
      </c>
    </row>
    <row r="2454" spans="1:9" x14ac:dyDescent="0.25">
      <c r="A2454">
        <v>1716</v>
      </c>
      <c r="B2454" s="1">
        <v>45585</v>
      </c>
      <c r="C2454">
        <v>15</v>
      </c>
      <c r="D2454">
        <v>34</v>
      </c>
      <c r="E2454">
        <v>5</v>
      </c>
      <c r="F2454">
        <v>1</v>
      </c>
      <c r="G2454" t="s">
        <v>1044</v>
      </c>
      <c r="H2454">
        <f>_xlfn.XLOOKUP(D2454, productos!$A$2:$A$150, productos!$D$2:$D$150, "No Encontrado", 0)</f>
        <v>5.45</v>
      </c>
      <c r="I2454">
        <f t="shared" si="38"/>
        <v>27.25</v>
      </c>
    </row>
    <row r="2455" spans="1:9" x14ac:dyDescent="0.25">
      <c r="A2455">
        <v>1718</v>
      </c>
      <c r="B2455" s="1">
        <v>45585</v>
      </c>
      <c r="C2455">
        <v>224</v>
      </c>
      <c r="D2455">
        <v>3</v>
      </c>
      <c r="E2455">
        <v>3</v>
      </c>
      <c r="F2455">
        <v>1</v>
      </c>
      <c r="G2455" t="s">
        <v>1044</v>
      </c>
      <c r="H2455">
        <f>_xlfn.XLOOKUP(D2455, productos!$A$2:$A$150, productos!$D$2:$D$150, "No Encontrado", 0)</f>
        <v>17.23</v>
      </c>
      <c r="I2455">
        <f t="shared" si="38"/>
        <v>51.69</v>
      </c>
    </row>
    <row r="2456" spans="1:9" x14ac:dyDescent="0.25">
      <c r="A2456">
        <v>1911</v>
      </c>
      <c r="B2456" s="1">
        <v>45585</v>
      </c>
      <c r="C2456">
        <v>64</v>
      </c>
      <c r="D2456">
        <v>10</v>
      </c>
      <c r="E2456">
        <v>5</v>
      </c>
      <c r="F2456">
        <v>4</v>
      </c>
      <c r="G2456" t="s">
        <v>1045</v>
      </c>
      <c r="H2456">
        <f>_xlfn.XLOOKUP(D2456, productos!$A$2:$A$150, productos!$D$2:$D$150, "No Encontrado", 0)</f>
        <v>14.25</v>
      </c>
      <c r="I2456">
        <f t="shared" si="38"/>
        <v>71.25</v>
      </c>
    </row>
    <row r="2457" spans="1:9" x14ac:dyDescent="0.25">
      <c r="A2457">
        <v>2337</v>
      </c>
      <c r="B2457" s="1">
        <v>45585</v>
      </c>
      <c r="C2457">
        <v>242</v>
      </c>
      <c r="D2457">
        <v>7</v>
      </c>
      <c r="E2457">
        <v>4</v>
      </c>
      <c r="F2457">
        <v>3</v>
      </c>
      <c r="G2457" t="s">
        <v>1045</v>
      </c>
      <c r="H2457">
        <f>_xlfn.XLOOKUP(D2457, productos!$A$2:$A$150, productos!$D$2:$D$150, "No Encontrado", 0)</f>
        <v>11.25</v>
      </c>
      <c r="I2457">
        <f t="shared" si="38"/>
        <v>45</v>
      </c>
    </row>
    <row r="2458" spans="1:9" x14ac:dyDescent="0.25">
      <c r="A2458">
        <v>2588</v>
      </c>
      <c r="B2458" s="1">
        <v>45585</v>
      </c>
      <c r="C2458">
        <v>116</v>
      </c>
      <c r="D2458">
        <v>27</v>
      </c>
      <c r="E2458">
        <v>4</v>
      </c>
      <c r="F2458">
        <v>3</v>
      </c>
      <c r="G2458" t="s">
        <v>1044</v>
      </c>
      <c r="H2458">
        <f>_xlfn.XLOOKUP(D2458, productos!$A$2:$A$150, productos!$D$2:$D$150, "No Encontrado", 0)</f>
        <v>6.21</v>
      </c>
      <c r="I2458">
        <f t="shared" si="38"/>
        <v>24.84</v>
      </c>
    </row>
    <row r="2459" spans="1:9" x14ac:dyDescent="0.25">
      <c r="A2459">
        <v>2594</v>
      </c>
      <c r="B2459" s="1">
        <v>45585</v>
      </c>
      <c r="C2459">
        <v>75</v>
      </c>
      <c r="D2459">
        <v>3</v>
      </c>
      <c r="E2459">
        <v>1</v>
      </c>
      <c r="F2459">
        <v>1</v>
      </c>
      <c r="G2459" t="s">
        <v>1044</v>
      </c>
      <c r="H2459">
        <f>_xlfn.XLOOKUP(D2459, productos!$A$2:$A$150, productos!$D$2:$D$150, "No Encontrado", 0)</f>
        <v>17.23</v>
      </c>
      <c r="I2459">
        <f t="shared" si="38"/>
        <v>17.23</v>
      </c>
    </row>
    <row r="2460" spans="1:9" x14ac:dyDescent="0.25">
      <c r="A2460">
        <v>2781</v>
      </c>
      <c r="B2460" s="1">
        <v>45585</v>
      </c>
      <c r="C2460">
        <v>224</v>
      </c>
      <c r="D2460">
        <v>25</v>
      </c>
      <c r="E2460">
        <v>5</v>
      </c>
      <c r="F2460">
        <v>5</v>
      </c>
      <c r="G2460" t="s">
        <v>1044</v>
      </c>
      <c r="H2460">
        <f>_xlfn.XLOOKUP(D2460, productos!$A$2:$A$150, productos!$D$2:$D$150, "No Encontrado", 0)</f>
        <v>15.45</v>
      </c>
      <c r="I2460">
        <f t="shared" si="38"/>
        <v>77.25</v>
      </c>
    </row>
    <row r="2461" spans="1:9" x14ac:dyDescent="0.25">
      <c r="A2461">
        <v>1275</v>
      </c>
      <c r="B2461" s="1">
        <v>45586</v>
      </c>
      <c r="C2461">
        <v>18</v>
      </c>
      <c r="D2461">
        <v>15</v>
      </c>
      <c r="E2461">
        <v>5</v>
      </c>
      <c r="F2461">
        <v>4</v>
      </c>
      <c r="G2461" t="s">
        <v>1044</v>
      </c>
      <c r="H2461">
        <f>_xlfn.XLOOKUP(D2461, productos!$A$2:$A$150, productos!$D$2:$D$150, "No Encontrado", 0)</f>
        <v>3.51</v>
      </c>
      <c r="I2461">
        <f t="shared" si="38"/>
        <v>17.549999999999997</v>
      </c>
    </row>
    <row r="2462" spans="1:9" x14ac:dyDescent="0.25">
      <c r="A2462">
        <v>1454</v>
      </c>
      <c r="B2462" s="1">
        <v>45586</v>
      </c>
      <c r="C2462">
        <v>272</v>
      </c>
      <c r="D2462">
        <v>10</v>
      </c>
      <c r="E2462">
        <v>6</v>
      </c>
      <c r="F2462">
        <v>1</v>
      </c>
      <c r="G2462" t="s">
        <v>1044</v>
      </c>
      <c r="H2462">
        <f>_xlfn.XLOOKUP(D2462, productos!$A$2:$A$150, productos!$D$2:$D$150, "No Encontrado", 0)</f>
        <v>14.25</v>
      </c>
      <c r="I2462">
        <f t="shared" si="38"/>
        <v>85.5</v>
      </c>
    </row>
    <row r="2463" spans="1:9" x14ac:dyDescent="0.25">
      <c r="A2463">
        <v>1559</v>
      </c>
      <c r="B2463" s="1">
        <v>45586</v>
      </c>
      <c r="C2463">
        <v>226</v>
      </c>
      <c r="D2463">
        <v>1</v>
      </c>
      <c r="E2463">
        <v>1</v>
      </c>
      <c r="F2463">
        <v>3</v>
      </c>
      <c r="G2463" t="s">
        <v>1044</v>
      </c>
      <c r="H2463">
        <f>_xlfn.XLOOKUP(D2463, productos!$A$2:$A$150, productos!$D$2:$D$150, "No Encontrado", 0)</f>
        <v>12.24</v>
      </c>
      <c r="I2463">
        <f t="shared" si="38"/>
        <v>12.24</v>
      </c>
    </row>
    <row r="2464" spans="1:9" x14ac:dyDescent="0.25">
      <c r="A2464">
        <v>1683</v>
      </c>
      <c r="B2464" s="1">
        <v>45586</v>
      </c>
      <c r="C2464">
        <v>181</v>
      </c>
      <c r="D2464">
        <v>12</v>
      </c>
      <c r="E2464">
        <v>4</v>
      </c>
      <c r="F2464">
        <v>3</v>
      </c>
      <c r="G2464" t="s">
        <v>1044</v>
      </c>
      <c r="H2464">
        <f>_xlfn.XLOOKUP(D2464, productos!$A$2:$A$150, productos!$D$2:$D$150, "No Encontrado", 0)</f>
        <v>8.1199999999999992</v>
      </c>
      <c r="I2464">
        <f t="shared" si="38"/>
        <v>32.479999999999997</v>
      </c>
    </row>
    <row r="2465" spans="1:9" x14ac:dyDescent="0.25">
      <c r="A2465">
        <v>760</v>
      </c>
      <c r="B2465" s="1">
        <v>45587</v>
      </c>
      <c r="C2465">
        <v>4</v>
      </c>
      <c r="D2465">
        <v>28</v>
      </c>
      <c r="E2465">
        <v>5</v>
      </c>
      <c r="F2465">
        <v>4</v>
      </c>
      <c r="G2465" t="s">
        <v>1044</v>
      </c>
      <c r="H2465">
        <f>_xlfn.XLOOKUP(D2465, productos!$A$2:$A$150, productos!$D$2:$D$150, "No Encontrado", 0)</f>
        <v>9.4499999999999993</v>
      </c>
      <c r="I2465">
        <f t="shared" si="38"/>
        <v>47.25</v>
      </c>
    </row>
    <row r="2466" spans="1:9" x14ac:dyDescent="0.25">
      <c r="A2466">
        <v>767</v>
      </c>
      <c r="B2466" s="1">
        <v>45587</v>
      </c>
      <c r="C2466">
        <v>9</v>
      </c>
      <c r="D2466">
        <v>32</v>
      </c>
      <c r="E2466">
        <v>2</v>
      </c>
      <c r="F2466">
        <v>4</v>
      </c>
      <c r="G2466" t="s">
        <v>1045</v>
      </c>
      <c r="H2466">
        <f>_xlfn.XLOOKUP(D2466, productos!$A$2:$A$150, productos!$D$2:$D$150, "No Encontrado", 0)</f>
        <v>6.25</v>
      </c>
      <c r="I2466">
        <f t="shared" si="38"/>
        <v>12.5</v>
      </c>
    </row>
    <row r="2467" spans="1:9" x14ac:dyDescent="0.25">
      <c r="A2467">
        <v>886</v>
      </c>
      <c r="B2467" s="1">
        <v>45587</v>
      </c>
      <c r="C2467">
        <v>74</v>
      </c>
      <c r="D2467">
        <v>2</v>
      </c>
      <c r="E2467">
        <v>4</v>
      </c>
      <c r="F2467">
        <v>3</v>
      </c>
      <c r="G2467" t="s">
        <v>1045</v>
      </c>
      <c r="H2467">
        <f>_xlfn.XLOOKUP(D2467, productos!$A$2:$A$150, productos!$D$2:$D$150, "No Encontrado", 0)</f>
        <v>5.21</v>
      </c>
      <c r="I2467">
        <f t="shared" si="38"/>
        <v>20.84</v>
      </c>
    </row>
    <row r="2468" spans="1:9" x14ac:dyDescent="0.25">
      <c r="A2468">
        <v>1740</v>
      </c>
      <c r="B2468" s="1">
        <v>45587</v>
      </c>
      <c r="C2468">
        <v>210</v>
      </c>
      <c r="D2468">
        <v>7</v>
      </c>
      <c r="E2468">
        <v>6</v>
      </c>
      <c r="F2468">
        <v>1</v>
      </c>
      <c r="G2468" t="s">
        <v>1044</v>
      </c>
      <c r="H2468">
        <f>_xlfn.XLOOKUP(D2468, productos!$A$2:$A$150, productos!$D$2:$D$150, "No Encontrado", 0)</f>
        <v>11.25</v>
      </c>
      <c r="I2468">
        <f t="shared" si="38"/>
        <v>67.5</v>
      </c>
    </row>
    <row r="2469" spans="1:9" x14ac:dyDescent="0.25">
      <c r="A2469">
        <v>2279</v>
      </c>
      <c r="B2469" s="1">
        <v>45587</v>
      </c>
      <c r="C2469">
        <v>219</v>
      </c>
      <c r="D2469">
        <v>28</v>
      </c>
      <c r="E2469">
        <v>3</v>
      </c>
      <c r="F2469">
        <v>3</v>
      </c>
      <c r="G2469" t="s">
        <v>1044</v>
      </c>
      <c r="H2469">
        <f>_xlfn.XLOOKUP(D2469, productos!$A$2:$A$150, productos!$D$2:$D$150, "No Encontrado", 0)</f>
        <v>9.4499999999999993</v>
      </c>
      <c r="I2469">
        <f t="shared" si="38"/>
        <v>28.349999999999998</v>
      </c>
    </row>
    <row r="2470" spans="1:9" x14ac:dyDescent="0.25">
      <c r="A2470">
        <v>2317</v>
      </c>
      <c r="B2470" s="1">
        <v>45587</v>
      </c>
      <c r="C2470">
        <v>174</v>
      </c>
      <c r="D2470">
        <v>13</v>
      </c>
      <c r="E2470">
        <v>6</v>
      </c>
      <c r="F2470">
        <v>1</v>
      </c>
      <c r="G2470" t="s">
        <v>1044</v>
      </c>
      <c r="H2470">
        <f>_xlfn.XLOOKUP(D2470, productos!$A$2:$A$150, productos!$D$2:$D$150, "No Encontrado", 0)</f>
        <v>12.56</v>
      </c>
      <c r="I2470">
        <f t="shared" si="38"/>
        <v>75.36</v>
      </c>
    </row>
    <row r="2471" spans="1:9" x14ac:dyDescent="0.25">
      <c r="A2471">
        <v>2546</v>
      </c>
      <c r="B2471" s="1">
        <v>45587</v>
      </c>
      <c r="C2471">
        <v>274</v>
      </c>
      <c r="D2471">
        <v>23</v>
      </c>
      <c r="E2471">
        <v>4</v>
      </c>
      <c r="F2471">
        <v>1</v>
      </c>
      <c r="G2471" t="s">
        <v>1044</v>
      </c>
      <c r="H2471">
        <f>_xlfn.XLOOKUP(D2471, productos!$A$2:$A$150, productos!$D$2:$D$150, "No Encontrado", 0)</f>
        <v>8.23</v>
      </c>
      <c r="I2471">
        <f t="shared" si="38"/>
        <v>32.92</v>
      </c>
    </row>
    <row r="2472" spans="1:9" x14ac:dyDescent="0.25">
      <c r="A2472">
        <v>840</v>
      </c>
      <c r="B2472" s="1">
        <v>45588</v>
      </c>
      <c r="C2472">
        <v>116</v>
      </c>
      <c r="D2472">
        <v>27</v>
      </c>
      <c r="E2472">
        <v>1</v>
      </c>
      <c r="F2472">
        <v>5</v>
      </c>
      <c r="G2472" t="s">
        <v>1044</v>
      </c>
      <c r="H2472">
        <f>_xlfn.XLOOKUP(D2472, productos!$A$2:$A$150, productos!$D$2:$D$150, "No Encontrado", 0)</f>
        <v>6.21</v>
      </c>
      <c r="I2472">
        <f t="shared" si="38"/>
        <v>6.21</v>
      </c>
    </row>
    <row r="2473" spans="1:9" x14ac:dyDescent="0.25">
      <c r="A2473">
        <v>1191</v>
      </c>
      <c r="B2473" s="1">
        <v>45588</v>
      </c>
      <c r="C2473">
        <v>285</v>
      </c>
      <c r="D2473">
        <v>10</v>
      </c>
      <c r="E2473">
        <v>5</v>
      </c>
      <c r="F2473">
        <v>1</v>
      </c>
      <c r="G2473" t="s">
        <v>1044</v>
      </c>
      <c r="H2473">
        <f>_xlfn.XLOOKUP(D2473, productos!$A$2:$A$150, productos!$D$2:$D$150, "No Encontrado", 0)</f>
        <v>14.25</v>
      </c>
      <c r="I2473">
        <f t="shared" si="38"/>
        <v>71.25</v>
      </c>
    </row>
    <row r="2474" spans="1:9" x14ac:dyDescent="0.25">
      <c r="A2474">
        <v>1336</v>
      </c>
      <c r="B2474" s="1">
        <v>45588</v>
      </c>
      <c r="C2474">
        <v>122</v>
      </c>
      <c r="D2474">
        <v>34</v>
      </c>
      <c r="E2474">
        <v>6</v>
      </c>
      <c r="F2474">
        <v>3</v>
      </c>
      <c r="G2474" t="s">
        <v>1044</v>
      </c>
      <c r="H2474">
        <f>_xlfn.XLOOKUP(D2474, productos!$A$2:$A$150, productos!$D$2:$D$150, "No Encontrado", 0)</f>
        <v>5.45</v>
      </c>
      <c r="I2474">
        <f t="shared" si="38"/>
        <v>32.700000000000003</v>
      </c>
    </row>
    <row r="2475" spans="1:9" x14ac:dyDescent="0.25">
      <c r="A2475">
        <v>1742</v>
      </c>
      <c r="B2475" s="1">
        <v>45588</v>
      </c>
      <c r="C2475">
        <v>175</v>
      </c>
      <c r="D2475">
        <v>7</v>
      </c>
      <c r="E2475">
        <v>2</v>
      </c>
      <c r="F2475">
        <v>3</v>
      </c>
      <c r="G2475" t="s">
        <v>1044</v>
      </c>
      <c r="H2475">
        <f>_xlfn.XLOOKUP(D2475, productos!$A$2:$A$150, productos!$D$2:$D$150, "No Encontrado", 0)</f>
        <v>11.25</v>
      </c>
      <c r="I2475">
        <f t="shared" si="38"/>
        <v>22.5</v>
      </c>
    </row>
    <row r="2476" spans="1:9" x14ac:dyDescent="0.25">
      <c r="A2476">
        <v>1936</v>
      </c>
      <c r="B2476" s="1">
        <v>45588</v>
      </c>
      <c r="C2476">
        <v>89</v>
      </c>
      <c r="D2476">
        <v>29</v>
      </c>
      <c r="E2476">
        <v>5</v>
      </c>
      <c r="F2476">
        <v>1</v>
      </c>
      <c r="G2476" t="s">
        <v>1045</v>
      </c>
      <c r="H2476">
        <f>_xlfn.XLOOKUP(D2476, productos!$A$2:$A$150, productos!$D$2:$D$150, "No Encontrado", 0)</f>
        <v>11.54</v>
      </c>
      <c r="I2476">
        <f t="shared" si="38"/>
        <v>57.699999999999996</v>
      </c>
    </row>
    <row r="2477" spans="1:9" x14ac:dyDescent="0.25">
      <c r="A2477">
        <v>2589</v>
      </c>
      <c r="B2477" s="1">
        <v>45588</v>
      </c>
      <c r="C2477">
        <v>274</v>
      </c>
      <c r="D2477">
        <v>22</v>
      </c>
      <c r="E2477">
        <v>5</v>
      </c>
      <c r="F2477">
        <v>4</v>
      </c>
      <c r="G2477" t="s">
        <v>1044</v>
      </c>
      <c r="H2477">
        <f>_xlfn.XLOOKUP(D2477, productos!$A$2:$A$150, productos!$D$2:$D$150, "No Encontrado", 0)</f>
        <v>4.21</v>
      </c>
      <c r="I2477">
        <f t="shared" si="38"/>
        <v>21.05</v>
      </c>
    </row>
    <row r="2478" spans="1:9" x14ac:dyDescent="0.25">
      <c r="A2478">
        <v>2670</v>
      </c>
      <c r="B2478" s="1">
        <v>45588</v>
      </c>
      <c r="C2478">
        <v>311</v>
      </c>
      <c r="D2478">
        <v>24</v>
      </c>
      <c r="E2478">
        <v>6</v>
      </c>
      <c r="F2478">
        <v>3</v>
      </c>
      <c r="G2478" t="s">
        <v>1044</v>
      </c>
      <c r="H2478">
        <f>_xlfn.XLOOKUP(D2478, productos!$A$2:$A$150, productos!$D$2:$D$150, "No Encontrado", 0)</f>
        <v>13.54</v>
      </c>
      <c r="I2478">
        <f t="shared" si="38"/>
        <v>81.239999999999995</v>
      </c>
    </row>
    <row r="2479" spans="1:9" x14ac:dyDescent="0.25">
      <c r="A2479">
        <v>629</v>
      </c>
      <c r="B2479" s="1">
        <v>45589</v>
      </c>
      <c r="C2479">
        <v>157</v>
      </c>
      <c r="D2479">
        <v>14</v>
      </c>
      <c r="E2479">
        <v>1</v>
      </c>
      <c r="F2479">
        <v>1</v>
      </c>
      <c r="G2479" t="s">
        <v>1045</v>
      </c>
      <c r="H2479">
        <f>_xlfn.XLOOKUP(D2479, productos!$A$2:$A$150, productos!$D$2:$D$150, "No Encontrado", 0)</f>
        <v>12.36</v>
      </c>
      <c r="I2479">
        <f t="shared" si="38"/>
        <v>12.36</v>
      </c>
    </row>
    <row r="2480" spans="1:9" x14ac:dyDescent="0.25">
      <c r="A2480">
        <v>1491</v>
      </c>
      <c r="B2480" s="1">
        <v>45589</v>
      </c>
      <c r="C2480">
        <v>132</v>
      </c>
      <c r="D2480">
        <v>35</v>
      </c>
      <c r="E2480">
        <v>2</v>
      </c>
      <c r="F2480">
        <v>2</v>
      </c>
      <c r="G2480" t="s">
        <v>1044</v>
      </c>
      <c r="H2480">
        <f>_xlfn.XLOOKUP(D2480, productos!$A$2:$A$150, productos!$D$2:$D$150, "No Encontrado", 0)</f>
        <v>4.25</v>
      </c>
      <c r="I2480">
        <f t="shared" si="38"/>
        <v>8.5</v>
      </c>
    </row>
    <row r="2481" spans="1:9" x14ac:dyDescent="0.25">
      <c r="A2481">
        <v>2072</v>
      </c>
      <c r="B2481" s="1">
        <v>45589</v>
      </c>
      <c r="C2481">
        <v>11</v>
      </c>
      <c r="D2481">
        <v>29</v>
      </c>
      <c r="E2481">
        <v>4</v>
      </c>
      <c r="F2481">
        <v>4</v>
      </c>
      <c r="G2481" t="s">
        <v>1044</v>
      </c>
      <c r="H2481">
        <f>_xlfn.XLOOKUP(D2481, productos!$A$2:$A$150, productos!$D$2:$D$150, "No Encontrado", 0)</f>
        <v>11.54</v>
      </c>
      <c r="I2481">
        <f t="shared" si="38"/>
        <v>46.16</v>
      </c>
    </row>
    <row r="2482" spans="1:9" x14ac:dyDescent="0.25">
      <c r="A2482">
        <v>2177</v>
      </c>
      <c r="B2482" s="1">
        <v>45589</v>
      </c>
      <c r="C2482">
        <v>37</v>
      </c>
      <c r="D2482">
        <v>18</v>
      </c>
      <c r="E2482">
        <v>6</v>
      </c>
      <c r="F2482">
        <v>4</v>
      </c>
      <c r="G2482" t="s">
        <v>1044</v>
      </c>
      <c r="H2482">
        <f>_xlfn.XLOOKUP(D2482, productos!$A$2:$A$150, productos!$D$2:$D$150, "No Encontrado", 0)</f>
        <v>7.25</v>
      </c>
      <c r="I2482">
        <f t="shared" si="38"/>
        <v>43.5</v>
      </c>
    </row>
    <row r="2483" spans="1:9" x14ac:dyDescent="0.25">
      <c r="A2483">
        <v>2504</v>
      </c>
      <c r="B2483" s="1">
        <v>45589</v>
      </c>
      <c r="C2483">
        <v>161</v>
      </c>
      <c r="D2483">
        <v>22</v>
      </c>
      <c r="E2483">
        <v>3</v>
      </c>
      <c r="F2483">
        <v>1</v>
      </c>
      <c r="G2483" t="s">
        <v>1044</v>
      </c>
      <c r="H2483">
        <f>_xlfn.XLOOKUP(D2483, productos!$A$2:$A$150, productos!$D$2:$D$150, "No Encontrado", 0)</f>
        <v>4.21</v>
      </c>
      <c r="I2483">
        <f t="shared" si="38"/>
        <v>12.629999999999999</v>
      </c>
    </row>
    <row r="2484" spans="1:9" x14ac:dyDescent="0.25">
      <c r="A2484">
        <v>613</v>
      </c>
      <c r="B2484" s="1">
        <v>45590</v>
      </c>
      <c r="C2484">
        <v>325</v>
      </c>
      <c r="D2484">
        <v>27</v>
      </c>
      <c r="E2484">
        <v>3</v>
      </c>
      <c r="F2484">
        <v>4</v>
      </c>
      <c r="G2484" t="s">
        <v>1044</v>
      </c>
      <c r="H2484">
        <f>_xlfn.XLOOKUP(D2484, productos!$A$2:$A$150, productos!$D$2:$D$150, "No Encontrado", 0)</f>
        <v>6.21</v>
      </c>
      <c r="I2484">
        <f t="shared" si="38"/>
        <v>18.63</v>
      </c>
    </row>
    <row r="2485" spans="1:9" x14ac:dyDescent="0.25">
      <c r="A2485">
        <v>1087</v>
      </c>
      <c r="B2485" s="1">
        <v>45590</v>
      </c>
      <c r="C2485">
        <v>170</v>
      </c>
      <c r="D2485">
        <v>25</v>
      </c>
      <c r="E2485">
        <v>2</v>
      </c>
      <c r="F2485">
        <v>2</v>
      </c>
      <c r="G2485" t="s">
        <v>1044</v>
      </c>
      <c r="H2485">
        <f>_xlfn.XLOOKUP(D2485, productos!$A$2:$A$150, productos!$D$2:$D$150, "No Encontrado", 0)</f>
        <v>15.45</v>
      </c>
      <c r="I2485">
        <f t="shared" si="38"/>
        <v>30.9</v>
      </c>
    </row>
    <row r="2486" spans="1:9" x14ac:dyDescent="0.25">
      <c r="A2486">
        <v>1485</v>
      </c>
      <c r="B2486" s="1">
        <v>45590</v>
      </c>
      <c r="C2486">
        <v>162</v>
      </c>
      <c r="D2486">
        <v>38</v>
      </c>
      <c r="E2486">
        <v>1</v>
      </c>
      <c r="F2486">
        <v>5</v>
      </c>
      <c r="G2486" t="s">
        <v>1044</v>
      </c>
      <c r="H2486">
        <f>_xlfn.XLOOKUP(D2486, productos!$A$2:$A$150, productos!$D$2:$D$150, "No Encontrado", 0)</f>
        <v>6.21</v>
      </c>
      <c r="I2486">
        <f t="shared" si="38"/>
        <v>6.21</v>
      </c>
    </row>
    <row r="2487" spans="1:9" x14ac:dyDescent="0.25">
      <c r="A2487">
        <v>2587</v>
      </c>
      <c r="B2487" s="1">
        <v>45590</v>
      </c>
      <c r="C2487">
        <v>221</v>
      </c>
      <c r="D2487">
        <v>37</v>
      </c>
      <c r="E2487">
        <v>1</v>
      </c>
      <c r="F2487">
        <v>5</v>
      </c>
      <c r="G2487" t="s">
        <v>1044</v>
      </c>
      <c r="H2487">
        <f>_xlfn.XLOOKUP(D2487, productos!$A$2:$A$150, productos!$D$2:$D$150, "No Encontrado", 0)</f>
        <v>3.65</v>
      </c>
      <c r="I2487">
        <f t="shared" si="38"/>
        <v>3.65</v>
      </c>
    </row>
    <row r="2488" spans="1:9" x14ac:dyDescent="0.25">
      <c r="A2488">
        <v>423</v>
      </c>
      <c r="B2488" s="1">
        <v>45591</v>
      </c>
      <c r="C2488">
        <v>34</v>
      </c>
      <c r="D2488">
        <v>27</v>
      </c>
      <c r="E2488">
        <v>6</v>
      </c>
      <c r="F2488">
        <v>5</v>
      </c>
      <c r="G2488" t="s">
        <v>1044</v>
      </c>
      <c r="H2488">
        <f>_xlfn.XLOOKUP(D2488, productos!$A$2:$A$150, productos!$D$2:$D$150, "No Encontrado", 0)</f>
        <v>6.21</v>
      </c>
      <c r="I2488">
        <f t="shared" si="38"/>
        <v>37.26</v>
      </c>
    </row>
    <row r="2489" spans="1:9" x14ac:dyDescent="0.25">
      <c r="A2489">
        <v>1303</v>
      </c>
      <c r="B2489" s="1">
        <v>45591</v>
      </c>
      <c r="C2489">
        <v>203</v>
      </c>
      <c r="D2489">
        <v>33</v>
      </c>
      <c r="E2489">
        <v>1</v>
      </c>
      <c r="F2489">
        <v>5</v>
      </c>
      <c r="G2489" t="s">
        <v>1044</v>
      </c>
      <c r="H2489">
        <f>_xlfn.XLOOKUP(D2489, productos!$A$2:$A$150, productos!$D$2:$D$150, "No Encontrado", 0)</f>
        <v>8.5399999999999991</v>
      </c>
      <c r="I2489">
        <f t="shared" si="38"/>
        <v>8.5399999999999991</v>
      </c>
    </row>
    <row r="2490" spans="1:9" x14ac:dyDescent="0.25">
      <c r="A2490">
        <v>1327</v>
      </c>
      <c r="B2490" s="1">
        <v>45591</v>
      </c>
      <c r="C2490">
        <v>205</v>
      </c>
      <c r="D2490">
        <v>23</v>
      </c>
      <c r="E2490">
        <v>3</v>
      </c>
      <c r="F2490">
        <v>2</v>
      </c>
      <c r="G2490" t="s">
        <v>1045</v>
      </c>
      <c r="H2490">
        <f>_xlfn.XLOOKUP(D2490, productos!$A$2:$A$150, productos!$D$2:$D$150, "No Encontrado", 0)</f>
        <v>8.23</v>
      </c>
      <c r="I2490">
        <f t="shared" si="38"/>
        <v>24.69</v>
      </c>
    </row>
    <row r="2491" spans="1:9" x14ac:dyDescent="0.25">
      <c r="A2491">
        <v>1728</v>
      </c>
      <c r="B2491" s="1">
        <v>45591</v>
      </c>
      <c r="C2491">
        <v>46</v>
      </c>
      <c r="D2491">
        <v>19</v>
      </c>
      <c r="E2491">
        <v>5</v>
      </c>
      <c r="F2491">
        <v>4</v>
      </c>
      <c r="G2491" t="s">
        <v>1044</v>
      </c>
      <c r="H2491">
        <f>_xlfn.XLOOKUP(D2491, productos!$A$2:$A$150, productos!$D$2:$D$150, "No Encontrado", 0)</f>
        <v>6.54</v>
      </c>
      <c r="I2491">
        <f t="shared" si="38"/>
        <v>32.700000000000003</v>
      </c>
    </row>
    <row r="2492" spans="1:9" x14ac:dyDescent="0.25">
      <c r="A2492">
        <v>2514</v>
      </c>
      <c r="B2492" s="1">
        <v>45591</v>
      </c>
      <c r="C2492">
        <v>255</v>
      </c>
      <c r="D2492">
        <v>21</v>
      </c>
      <c r="E2492">
        <v>5</v>
      </c>
      <c r="F2492">
        <v>1</v>
      </c>
      <c r="G2492" t="s">
        <v>1044</v>
      </c>
      <c r="H2492">
        <f>_xlfn.XLOOKUP(D2492, productos!$A$2:$A$150, productos!$D$2:$D$150, "No Encontrado", 0)</f>
        <v>3.25</v>
      </c>
      <c r="I2492">
        <f t="shared" si="38"/>
        <v>16.25</v>
      </c>
    </row>
    <row r="2493" spans="1:9" x14ac:dyDescent="0.25">
      <c r="A2493">
        <v>2723</v>
      </c>
      <c r="B2493" s="1">
        <v>45591</v>
      </c>
      <c r="C2493">
        <v>321</v>
      </c>
      <c r="D2493">
        <v>1</v>
      </c>
      <c r="E2493">
        <v>2</v>
      </c>
      <c r="F2493">
        <v>5</v>
      </c>
      <c r="G2493" t="s">
        <v>1044</v>
      </c>
      <c r="H2493">
        <f>_xlfn.XLOOKUP(D2493, productos!$A$2:$A$150, productos!$D$2:$D$150, "No Encontrado", 0)</f>
        <v>12.24</v>
      </c>
      <c r="I2493">
        <f t="shared" si="38"/>
        <v>24.48</v>
      </c>
    </row>
    <row r="2494" spans="1:9" x14ac:dyDescent="0.25">
      <c r="A2494">
        <v>458</v>
      </c>
      <c r="B2494" s="1">
        <v>45592</v>
      </c>
      <c r="C2494">
        <v>102</v>
      </c>
      <c r="D2494">
        <v>10</v>
      </c>
      <c r="E2494">
        <v>4</v>
      </c>
      <c r="F2494">
        <v>5</v>
      </c>
      <c r="G2494" t="s">
        <v>1044</v>
      </c>
      <c r="H2494">
        <f>_xlfn.XLOOKUP(D2494, productos!$A$2:$A$150, productos!$D$2:$D$150, "No Encontrado", 0)</f>
        <v>14.25</v>
      </c>
      <c r="I2494">
        <f t="shared" si="38"/>
        <v>57</v>
      </c>
    </row>
    <row r="2495" spans="1:9" x14ac:dyDescent="0.25">
      <c r="A2495">
        <v>1283</v>
      </c>
      <c r="B2495" s="1">
        <v>45592</v>
      </c>
      <c r="C2495">
        <v>318</v>
      </c>
      <c r="D2495">
        <v>32</v>
      </c>
      <c r="E2495">
        <v>1</v>
      </c>
      <c r="F2495">
        <v>4</v>
      </c>
      <c r="G2495" t="s">
        <v>1044</v>
      </c>
      <c r="H2495">
        <f>_xlfn.XLOOKUP(D2495, productos!$A$2:$A$150, productos!$D$2:$D$150, "No Encontrado", 0)</f>
        <v>6.25</v>
      </c>
      <c r="I2495">
        <f t="shared" si="38"/>
        <v>6.25</v>
      </c>
    </row>
    <row r="2496" spans="1:9" x14ac:dyDescent="0.25">
      <c r="A2496">
        <v>1293</v>
      </c>
      <c r="B2496" s="1">
        <v>45592</v>
      </c>
      <c r="C2496">
        <v>247</v>
      </c>
      <c r="D2496">
        <v>4</v>
      </c>
      <c r="E2496">
        <v>2</v>
      </c>
      <c r="F2496">
        <v>4</v>
      </c>
      <c r="G2496" t="s">
        <v>1044</v>
      </c>
      <c r="H2496">
        <f>_xlfn.XLOOKUP(D2496, productos!$A$2:$A$150, productos!$D$2:$D$150, "No Encontrado", 0)</f>
        <v>19.23</v>
      </c>
      <c r="I2496">
        <f t="shared" si="38"/>
        <v>38.46</v>
      </c>
    </row>
    <row r="2497" spans="1:9" x14ac:dyDescent="0.25">
      <c r="A2497">
        <v>1308</v>
      </c>
      <c r="B2497" s="1">
        <v>45592</v>
      </c>
      <c r="C2497">
        <v>185</v>
      </c>
      <c r="D2497">
        <v>22</v>
      </c>
      <c r="E2497">
        <v>4</v>
      </c>
      <c r="F2497">
        <v>1</v>
      </c>
      <c r="G2497" t="s">
        <v>1044</v>
      </c>
      <c r="H2497">
        <f>_xlfn.XLOOKUP(D2497, productos!$A$2:$A$150, productos!$D$2:$D$150, "No Encontrado", 0)</f>
        <v>4.21</v>
      </c>
      <c r="I2497">
        <f t="shared" si="38"/>
        <v>16.84</v>
      </c>
    </row>
    <row r="2498" spans="1:9" x14ac:dyDescent="0.25">
      <c r="A2498">
        <v>1315</v>
      </c>
      <c r="B2498" s="1">
        <v>45592</v>
      </c>
      <c r="C2498">
        <v>222</v>
      </c>
      <c r="D2498">
        <v>3</v>
      </c>
      <c r="E2498">
        <v>1</v>
      </c>
      <c r="F2498">
        <v>1</v>
      </c>
      <c r="G2498" t="s">
        <v>1044</v>
      </c>
      <c r="H2498">
        <f>_xlfn.XLOOKUP(D2498, productos!$A$2:$A$150, productos!$D$2:$D$150, "No Encontrado", 0)</f>
        <v>17.23</v>
      </c>
      <c r="I2498">
        <f t="shared" si="38"/>
        <v>17.23</v>
      </c>
    </row>
    <row r="2499" spans="1:9" x14ac:dyDescent="0.25">
      <c r="A2499">
        <v>1405</v>
      </c>
      <c r="B2499" s="1">
        <v>45592</v>
      </c>
      <c r="C2499">
        <v>187</v>
      </c>
      <c r="D2499">
        <v>29</v>
      </c>
      <c r="E2499">
        <v>2</v>
      </c>
      <c r="F2499">
        <v>2</v>
      </c>
      <c r="G2499" t="s">
        <v>1044</v>
      </c>
      <c r="H2499">
        <f>_xlfn.XLOOKUP(D2499, productos!$A$2:$A$150, productos!$D$2:$D$150, "No Encontrado", 0)</f>
        <v>11.54</v>
      </c>
      <c r="I2499">
        <f t="shared" ref="I2499:I2562" si="39">E2499*H2499</f>
        <v>23.08</v>
      </c>
    </row>
    <row r="2500" spans="1:9" x14ac:dyDescent="0.25">
      <c r="A2500">
        <v>1536</v>
      </c>
      <c r="B2500" s="1">
        <v>45592</v>
      </c>
      <c r="C2500">
        <v>203</v>
      </c>
      <c r="D2500">
        <v>35</v>
      </c>
      <c r="E2500">
        <v>6</v>
      </c>
      <c r="F2500">
        <v>1</v>
      </c>
      <c r="G2500" t="s">
        <v>1044</v>
      </c>
      <c r="H2500">
        <f>_xlfn.XLOOKUP(D2500, productos!$A$2:$A$150, productos!$D$2:$D$150, "No Encontrado", 0)</f>
        <v>4.25</v>
      </c>
      <c r="I2500">
        <f t="shared" si="39"/>
        <v>25.5</v>
      </c>
    </row>
    <row r="2501" spans="1:9" x14ac:dyDescent="0.25">
      <c r="A2501">
        <v>2273</v>
      </c>
      <c r="B2501" s="1">
        <v>45592</v>
      </c>
      <c r="C2501">
        <v>304</v>
      </c>
      <c r="D2501">
        <v>10</v>
      </c>
      <c r="E2501">
        <v>4</v>
      </c>
      <c r="F2501">
        <v>4</v>
      </c>
      <c r="G2501" t="s">
        <v>1044</v>
      </c>
      <c r="H2501">
        <f>_xlfn.XLOOKUP(D2501, productos!$A$2:$A$150, productos!$D$2:$D$150, "No Encontrado", 0)</f>
        <v>14.25</v>
      </c>
      <c r="I2501">
        <f t="shared" si="39"/>
        <v>57</v>
      </c>
    </row>
    <row r="2502" spans="1:9" x14ac:dyDescent="0.25">
      <c r="A2502">
        <v>2733</v>
      </c>
      <c r="B2502" s="1">
        <v>45592</v>
      </c>
      <c r="C2502">
        <v>27</v>
      </c>
      <c r="D2502">
        <v>30</v>
      </c>
      <c r="E2502">
        <v>6</v>
      </c>
      <c r="F2502">
        <v>1</v>
      </c>
      <c r="G2502" t="s">
        <v>1044</v>
      </c>
      <c r="H2502">
        <f>_xlfn.XLOOKUP(D2502, productos!$A$2:$A$150, productos!$D$2:$D$150, "No Encontrado", 0)</f>
        <v>13.54</v>
      </c>
      <c r="I2502">
        <f t="shared" si="39"/>
        <v>81.239999999999995</v>
      </c>
    </row>
    <row r="2503" spans="1:9" x14ac:dyDescent="0.25">
      <c r="A2503">
        <v>1119</v>
      </c>
      <c r="B2503" s="1">
        <v>45593</v>
      </c>
      <c r="C2503">
        <v>142</v>
      </c>
      <c r="D2503">
        <v>15</v>
      </c>
      <c r="E2503">
        <v>6</v>
      </c>
      <c r="F2503">
        <v>2</v>
      </c>
      <c r="G2503" t="s">
        <v>1044</v>
      </c>
      <c r="H2503">
        <f>_xlfn.XLOOKUP(D2503, productos!$A$2:$A$150, productos!$D$2:$D$150, "No Encontrado", 0)</f>
        <v>3.51</v>
      </c>
      <c r="I2503">
        <f t="shared" si="39"/>
        <v>21.06</v>
      </c>
    </row>
    <row r="2504" spans="1:9" x14ac:dyDescent="0.25">
      <c r="A2504">
        <v>1533</v>
      </c>
      <c r="B2504" s="1">
        <v>45593</v>
      </c>
      <c r="C2504">
        <v>118</v>
      </c>
      <c r="D2504">
        <v>15</v>
      </c>
      <c r="E2504">
        <v>4</v>
      </c>
      <c r="F2504">
        <v>4</v>
      </c>
      <c r="G2504" t="s">
        <v>1044</v>
      </c>
      <c r="H2504">
        <f>_xlfn.XLOOKUP(D2504, productos!$A$2:$A$150, productos!$D$2:$D$150, "No Encontrado", 0)</f>
        <v>3.51</v>
      </c>
      <c r="I2504">
        <f t="shared" si="39"/>
        <v>14.04</v>
      </c>
    </row>
    <row r="2505" spans="1:9" x14ac:dyDescent="0.25">
      <c r="A2505">
        <v>1696</v>
      </c>
      <c r="B2505" s="1">
        <v>45593</v>
      </c>
      <c r="C2505">
        <v>316</v>
      </c>
      <c r="D2505">
        <v>31</v>
      </c>
      <c r="E2505">
        <v>6</v>
      </c>
      <c r="F2505">
        <v>5</v>
      </c>
      <c r="G2505" t="s">
        <v>1045</v>
      </c>
      <c r="H2505">
        <f>_xlfn.XLOOKUP(D2505, productos!$A$2:$A$150, productos!$D$2:$D$150, "No Encontrado", 0)</f>
        <v>5.24</v>
      </c>
      <c r="I2505">
        <f t="shared" si="39"/>
        <v>31.44</v>
      </c>
    </row>
    <row r="2506" spans="1:9" x14ac:dyDescent="0.25">
      <c r="A2506">
        <v>1750</v>
      </c>
      <c r="B2506" s="1">
        <v>45593</v>
      </c>
      <c r="C2506">
        <v>310</v>
      </c>
      <c r="D2506">
        <v>16</v>
      </c>
      <c r="E2506">
        <v>1</v>
      </c>
      <c r="F2506">
        <v>5</v>
      </c>
      <c r="G2506" t="s">
        <v>1044</v>
      </c>
      <c r="H2506">
        <f>_xlfn.XLOOKUP(D2506, productos!$A$2:$A$150, productos!$D$2:$D$150, "No Encontrado", 0)</f>
        <v>15.23</v>
      </c>
      <c r="I2506">
        <f t="shared" si="39"/>
        <v>15.23</v>
      </c>
    </row>
    <row r="2507" spans="1:9" x14ac:dyDescent="0.25">
      <c r="A2507">
        <v>1833</v>
      </c>
      <c r="B2507" s="1">
        <v>45593</v>
      </c>
      <c r="C2507">
        <v>14</v>
      </c>
      <c r="D2507">
        <v>18</v>
      </c>
      <c r="E2507">
        <v>6</v>
      </c>
      <c r="F2507">
        <v>5</v>
      </c>
      <c r="G2507" t="s">
        <v>1044</v>
      </c>
      <c r="H2507">
        <f>_xlfn.XLOOKUP(D2507, productos!$A$2:$A$150, productos!$D$2:$D$150, "No Encontrado", 0)</f>
        <v>7.25</v>
      </c>
      <c r="I2507">
        <f t="shared" si="39"/>
        <v>43.5</v>
      </c>
    </row>
    <row r="2508" spans="1:9" x14ac:dyDescent="0.25">
      <c r="A2508">
        <v>2488</v>
      </c>
      <c r="B2508" s="1">
        <v>45593</v>
      </c>
      <c r="C2508">
        <v>55</v>
      </c>
      <c r="D2508">
        <v>10</v>
      </c>
      <c r="E2508">
        <v>5</v>
      </c>
      <c r="F2508">
        <v>5</v>
      </c>
      <c r="G2508" t="s">
        <v>1044</v>
      </c>
      <c r="H2508">
        <f>_xlfn.XLOOKUP(D2508, productos!$A$2:$A$150, productos!$D$2:$D$150, "No Encontrado", 0)</f>
        <v>14.25</v>
      </c>
      <c r="I2508">
        <f t="shared" si="39"/>
        <v>71.25</v>
      </c>
    </row>
    <row r="2509" spans="1:9" x14ac:dyDescent="0.25">
      <c r="A2509">
        <v>2494</v>
      </c>
      <c r="B2509" s="1">
        <v>45593</v>
      </c>
      <c r="C2509">
        <v>211</v>
      </c>
      <c r="D2509">
        <v>33</v>
      </c>
      <c r="E2509">
        <v>5</v>
      </c>
      <c r="F2509">
        <v>1</v>
      </c>
      <c r="G2509" t="s">
        <v>1044</v>
      </c>
      <c r="H2509">
        <f>_xlfn.XLOOKUP(D2509, productos!$A$2:$A$150, productos!$D$2:$D$150, "No Encontrado", 0)</f>
        <v>8.5399999999999991</v>
      </c>
      <c r="I2509">
        <f t="shared" si="39"/>
        <v>42.699999999999996</v>
      </c>
    </row>
    <row r="2510" spans="1:9" x14ac:dyDescent="0.25">
      <c r="A2510">
        <v>2501</v>
      </c>
      <c r="B2510" s="1">
        <v>45593</v>
      </c>
      <c r="C2510">
        <v>272</v>
      </c>
      <c r="D2510">
        <v>17</v>
      </c>
      <c r="E2510">
        <v>4</v>
      </c>
      <c r="F2510">
        <v>4</v>
      </c>
      <c r="G2510" t="s">
        <v>1044</v>
      </c>
      <c r="H2510">
        <f>_xlfn.XLOOKUP(D2510, productos!$A$2:$A$150, productos!$D$2:$D$150, "No Encontrado", 0)</f>
        <v>6.54</v>
      </c>
      <c r="I2510">
        <f t="shared" si="39"/>
        <v>26.16</v>
      </c>
    </row>
    <row r="2511" spans="1:9" x14ac:dyDescent="0.25">
      <c r="A2511">
        <v>2549</v>
      </c>
      <c r="B2511" s="1">
        <v>45593</v>
      </c>
      <c r="C2511">
        <v>239</v>
      </c>
      <c r="D2511">
        <v>8</v>
      </c>
      <c r="E2511">
        <v>1</v>
      </c>
      <c r="F2511">
        <v>4</v>
      </c>
      <c r="G2511" t="s">
        <v>1044</v>
      </c>
      <c r="H2511">
        <f>_xlfn.XLOOKUP(D2511, productos!$A$2:$A$150, productos!$D$2:$D$150, "No Encontrado", 0)</f>
        <v>16.21</v>
      </c>
      <c r="I2511">
        <f t="shared" si="39"/>
        <v>16.21</v>
      </c>
    </row>
    <row r="2512" spans="1:9" x14ac:dyDescent="0.25">
      <c r="A2512">
        <v>2575</v>
      </c>
      <c r="B2512" s="1">
        <v>45593</v>
      </c>
      <c r="C2512">
        <v>13</v>
      </c>
      <c r="D2512">
        <v>23</v>
      </c>
      <c r="E2512">
        <v>4</v>
      </c>
      <c r="F2512">
        <v>4</v>
      </c>
      <c r="G2512" t="s">
        <v>1045</v>
      </c>
      <c r="H2512">
        <f>_xlfn.XLOOKUP(D2512, productos!$A$2:$A$150, productos!$D$2:$D$150, "No Encontrado", 0)</f>
        <v>8.23</v>
      </c>
      <c r="I2512">
        <f t="shared" si="39"/>
        <v>32.92</v>
      </c>
    </row>
    <row r="2513" spans="1:9" x14ac:dyDescent="0.25">
      <c r="A2513">
        <v>2598</v>
      </c>
      <c r="B2513" s="1">
        <v>45593</v>
      </c>
      <c r="C2513">
        <v>155</v>
      </c>
      <c r="D2513">
        <v>18</v>
      </c>
      <c r="E2513">
        <v>6</v>
      </c>
      <c r="F2513">
        <v>5</v>
      </c>
      <c r="G2513" t="s">
        <v>1045</v>
      </c>
      <c r="H2513">
        <f>_xlfn.XLOOKUP(D2513, productos!$A$2:$A$150, productos!$D$2:$D$150, "No Encontrado", 0)</f>
        <v>7.25</v>
      </c>
      <c r="I2513">
        <f t="shared" si="39"/>
        <v>43.5</v>
      </c>
    </row>
    <row r="2514" spans="1:9" x14ac:dyDescent="0.25">
      <c r="A2514">
        <v>2866</v>
      </c>
      <c r="B2514" s="1">
        <v>45593</v>
      </c>
      <c r="C2514">
        <v>6</v>
      </c>
      <c r="D2514">
        <v>2</v>
      </c>
      <c r="E2514">
        <v>3</v>
      </c>
      <c r="F2514">
        <v>5</v>
      </c>
      <c r="G2514" t="s">
        <v>1044</v>
      </c>
      <c r="H2514">
        <f>_xlfn.XLOOKUP(D2514, productos!$A$2:$A$150, productos!$D$2:$D$150, "No Encontrado", 0)</f>
        <v>5.21</v>
      </c>
      <c r="I2514">
        <f t="shared" si="39"/>
        <v>15.629999999999999</v>
      </c>
    </row>
    <row r="2515" spans="1:9" x14ac:dyDescent="0.25">
      <c r="A2515">
        <v>2897</v>
      </c>
      <c r="B2515" s="1">
        <v>45593</v>
      </c>
      <c r="C2515">
        <v>36</v>
      </c>
      <c r="D2515">
        <v>3</v>
      </c>
      <c r="E2515">
        <v>3</v>
      </c>
      <c r="F2515">
        <v>4</v>
      </c>
      <c r="G2515" t="s">
        <v>1044</v>
      </c>
      <c r="H2515">
        <f>_xlfn.XLOOKUP(D2515, productos!$A$2:$A$150, productos!$D$2:$D$150, "No Encontrado", 0)</f>
        <v>17.23</v>
      </c>
      <c r="I2515">
        <f t="shared" si="39"/>
        <v>51.69</v>
      </c>
    </row>
    <row r="2516" spans="1:9" x14ac:dyDescent="0.25">
      <c r="A2516">
        <v>331</v>
      </c>
      <c r="B2516" s="1">
        <v>45594</v>
      </c>
      <c r="C2516">
        <v>157</v>
      </c>
      <c r="D2516">
        <v>35</v>
      </c>
      <c r="E2516">
        <v>2</v>
      </c>
      <c r="F2516">
        <v>3</v>
      </c>
      <c r="G2516" t="s">
        <v>1044</v>
      </c>
      <c r="H2516">
        <f>_xlfn.XLOOKUP(D2516, productos!$A$2:$A$150, productos!$D$2:$D$150, "No Encontrado", 0)</f>
        <v>4.25</v>
      </c>
      <c r="I2516">
        <f t="shared" si="39"/>
        <v>8.5</v>
      </c>
    </row>
    <row r="2517" spans="1:9" x14ac:dyDescent="0.25">
      <c r="A2517">
        <v>758</v>
      </c>
      <c r="B2517" s="1">
        <v>45594</v>
      </c>
      <c r="C2517">
        <v>168</v>
      </c>
      <c r="D2517">
        <v>11</v>
      </c>
      <c r="E2517">
        <v>2</v>
      </c>
      <c r="F2517">
        <v>1</v>
      </c>
      <c r="G2517" t="s">
        <v>1044</v>
      </c>
      <c r="H2517">
        <f>_xlfn.XLOOKUP(D2517, productos!$A$2:$A$150, productos!$D$2:$D$150, "No Encontrado", 0)</f>
        <v>11.23</v>
      </c>
      <c r="I2517">
        <f t="shared" si="39"/>
        <v>22.46</v>
      </c>
    </row>
    <row r="2518" spans="1:9" x14ac:dyDescent="0.25">
      <c r="A2518">
        <v>759</v>
      </c>
      <c r="B2518" s="1">
        <v>45594</v>
      </c>
      <c r="C2518">
        <v>4</v>
      </c>
      <c r="D2518">
        <v>7</v>
      </c>
      <c r="E2518">
        <v>6</v>
      </c>
      <c r="F2518">
        <v>4</v>
      </c>
      <c r="G2518" t="s">
        <v>1044</v>
      </c>
      <c r="H2518">
        <f>_xlfn.XLOOKUP(D2518, productos!$A$2:$A$150, productos!$D$2:$D$150, "No Encontrado", 0)</f>
        <v>11.25</v>
      </c>
      <c r="I2518">
        <f t="shared" si="39"/>
        <v>67.5</v>
      </c>
    </row>
    <row r="2519" spans="1:9" x14ac:dyDescent="0.25">
      <c r="A2519">
        <v>1367</v>
      </c>
      <c r="B2519" s="1">
        <v>45594</v>
      </c>
      <c r="C2519">
        <v>248</v>
      </c>
      <c r="D2519">
        <v>9</v>
      </c>
      <c r="E2519">
        <v>5</v>
      </c>
      <c r="F2519">
        <v>5</v>
      </c>
      <c r="G2519" t="s">
        <v>1044</v>
      </c>
      <c r="H2519">
        <f>_xlfn.XLOOKUP(D2519, productos!$A$2:$A$150, productos!$D$2:$D$150, "No Encontrado", 0)</f>
        <v>18.559999999999999</v>
      </c>
      <c r="I2519">
        <f t="shared" si="39"/>
        <v>92.8</v>
      </c>
    </row>
    <row r="2520" spans="1:9" x14ac:dyDescent="0.25">
      <c r="A2520">
        <v>1668</v>
      </c>
      <c r="B2520" s="1">
        <v>45594</v>
      </c>
      <c r="C2520">
        <v>55</v>
      </c>
      <c r="D2520">
        <v>26</v>
      </c>
      <c r="E2520">
        <v>6</v>
      </c>
      <c r="F2520">
        <v>4</v>
      </c>
      <c r="G2520" t="s">
        <v>1044</v>
      </c>
      <c r="H2520">
        <f>_xlfn.XLOOKUP(D2520, productos!$A$2:$A$150, productos!$D$2:$D$150, "No Encontrado", 0)</f>
        <v>9.5399999999999991</v>
      </c>
      <c r="I2520">
        <f t="shared" si="39"/>
        <v>57.239999999999995</v>
      </c>
    </row>
    <row r="2521" spans="1:9" x14ac:dyDescent="0.25">
      <c r="A2521">
        <v>1882</v>
      </c>
      <c r="B2521" s="1">
        <v>45594</v>
      </c>
      <c r="C2521">
        <v>7</v>
      </c>
      <c r="D2521">
        <v>32</v>
      </c>
      <c r="E2521">
        <v>3</v>
      </c>
      <c r="F2521">
        <v>4</v>
      </c>
      <c r="G2521" t="s">
        <v>1044</v>
      </c>
      <c r="H2521">
        <f>_xlfn.XLOOKUP(D2521, productos!$A$2:$A$150, productos!$D$2:$D$150, "No Encontrado", 0)</f>
        <v>6.25</v>
      </c>
      <c r="I2521">
        <f t="shared" si="39"/>
        <v>18.75</v>
      </c>
    </row>
    <row r="2522" spans="1:9" x14ac:dyDescent="0.25">
      <c r="A2522">
        <v>2078</v>
      </c>
      <c r="B2522" s="1">
        <v>45594</v>
      </c>
      <c r="C2522">
        <v>60</v>
      </c>
      <c r="D2522">
        <v>23</v>
      </c>
      <c r="E2522">
        <v>5</v>
      </c>
      <c r="F2522">
        <v>5</v>
      </c>
      <c r="G2522" t="s">
        <v>1044</v>
      </c>
      <c r="H2522">
        <f>_xlfn.XLOOKUP(D2522, productos!$A$2:$A$150, productos!$D$2:$D$150, "No Encontrado", 0)</f>
        <v>8.23</v>
      </c>
      <c r="I2522">
        <f t="shared" si="39"/>
        <v>41.150000000000006</v>
      </c>
    </row>
    <row r="2523" spans="1:9" x14ac:dyDescent="0.25">
      <c r="A2523">
        <v>2080</v>
      </c>
      <c r="B2523" s="1">
        <v>45594</v>
      </c>
      <c r="C2523">
        <v>62</v>
      </c>
      <c r="D2523">
        <v>18</v>
      </c>
      <c r="E2523">
        <v>4</v>
      </c>
      <c r="F2523">
        <v>5</v>
      </c>
      <c r="G2523" t="s">
        <v>1045</v>
      </c>
      <c r="H2523">
        <f>_xlfn.XLOOKUP(D2523, productos!$A$2:$A$150, productos!$D$2:$D$150, "No Encontrado", 0)</f>
        <v>7.25</v>
      </c>
      <c r="I2523">
        <f t="shared" si="39"/>
        <v>29</v>
      </c>
    </row>
    <row r="2524" spans="1:9" x14ac:dyDescent="0.25">
      <c r="A2524">
        <v>2242</v>
      </c>
      <c r="B2524" s="1">
        <v>45594</v>
      </c>
      <c r="C2524">
        <v>134</v>
      </c>
      <c r="D2524">
        <v>12</v>
      </c>
      <c r="E2524">
        <v>3</v>
      </c>
      <c r="F2524">
        <v>4</v>
      </c>
      <c r="G2524" t="s">
        <v>1045</v>
      </c>
      <c r="H2524">
        <f>_xlfn.XLOOKUP(D2524, productos!$A$2:$A$150, productos!$D$2:$D$150, "No Encontrado", 0)</f>
        <v>8.1199999999999992</v>
      </c>
      <c r="I2524">
        <f t="shared" si="39"/>
        <v>24.36</v>
      </c>
    </row>
    <row r="2525" spans="1:9" x14ac:dyDescent="0.25">
      <c r="A2525">
        <v>2812</v>
      </c>
      <c r="B2525" s="1">
        <v>45594</v>
      </c>
      <c r="C2525">
        <v>89</v>
      </c>
      <c r="D2525">
        <v>38</v>
      </c>
      <c r="E2525">
        <v>4</v>
      </c>
      <c r="F2525">
        <v>5</v>
      </c>
      <c r="G2525" t="s">
        <v>1044</v>
      </c>
      <c r="H2525">
        <f>_xlfn.XLOOKUP(D2525, productos!$A$2:$A$150, productos!$D$2:$D$150, "No Encontrado", 0)</f>
        <v>6.21</v>
      </c>
      <c r="I2525">
        <f t="shared" si="39"/>
        <v>24.84</v>
      </c>
    </row>
    <row r="2526" spans="1:9" x14ac:dyDescent="0.25">
      <c r="A2526">
        <v>1027</v>
      </c>
      <c r="B2526" s="1">
        <v>45595</v>
      </c>
      <c r="C2526">
        <v>140</v>
      </c>
      <c r="D2526">
        <v>18</v>
      </c>
      <c r="E2526">
        <v>4</v>
      </c>
      <c r="F2526">
        <v>1</v>
      </c>
      <c r="G2526" t="s">
        <v>1044</v>
      </c>
      <c r="H2526">
        <f>_xlfn.XLOOKUP(D2526, productos!$A$2:$A$150, productos!$D$2:$D$150, "No Encontrado", 0)</f>
        <v>7.25</v>
      </c>
      <c r="I2526">
        <f t="shared" si="39"/>
        <v>29</v>
      </c>
    </row>
    <row r="2527" spans="1:9" x14ac:dyDescent="0.25">
      <c r="A2527">
        <v>1193</v>
      </c>
      <c r="B2527" s="1">
        <v>45595</v>
      </c>
      <c r="C2527">
        <v>217</v>
      </c>
      <c r="D2527">
        <v>5</v>
      </c>
      <c r="E2527">
        <v>6</v>
      </c>
      <c r="F2527">
        <v>4</v>
      </c>
      <c r="G2527" t="s">
        <v>1044</v>
      </c>
      <c r="H2527">
        <f>_xlfn.XLOOKUP(D2527, productos!$A$2:$A$150, productos!$D$2:$D$150, "No Encontrado", 0)</f>
        <v>5.65</v>
      </c>
      <c r="I2527">
        <f t="shared" si="39"/>
        <v>33.900000000000006</v>
      </c>
    </row>
    <row r="2528" spans="1:9" x14ac:dyDescent="0.25">
      <c r="A2528">
        <v>1483</v>
      </c>
      <c r="B2528" s="1">
        <v>45595</v>
      </c>
      <c r="C2528">
        <v>303</v>
      </c>
      <c r="D2528">
        <v>23</v>
      </c>
      <c r="E2528">
        <v>5</v>
      </c>
      <c r="F2528">
        <v>1</v>
      </c>
      <c r="G2528" t="s">
        <v>1044</v>
      </c>
      <c r="H2528">
        <f>_xlfn.XLOOKUP(D2528, productos!$A$2:$A$150, productos!$D$2:$D$150, "No Encontrado", 0)</f>
        <v>8.23</v>
      </c>
      <c r="I2528">
        <f t="shared" si="39"/>
        <v>41.150000000000006</v>
      </c>
    </row>
    <row r="2529" spans="1:9" x14ac:dyDescent="0.25">
      <c r="A2529">
        <v>1785</v>
      </c>
      <c r="B2529" s="1">
        <v>45595</v>
      </c>
      <c r="C2529">
        <v>207</v>
      </c>
      <c r="D2529">
        <v>1</v>
      </c>
      <c r="E2529">
        <v>1</v>
      </c>
      <c r="F2529">
        <v>4</v>
      </c>
      <c r="G2529" t="s">
        <v>1044</v>
      </c>
      <c r="H2529">
        <f>_xlfn.XLOOKUP(D2529, productos!$A$2:$A$150, productos!$D$2:$D$150, "No Encontrado", 0)</f>
        <v>12.24</v>
      </c>
      <c r="I2529">
        <f t="shared" si="39"/>
        <v>12.24</v>
      </c>
    </row>
    <row r="2530" spans="1:9" x14ac:dyDescent="0.25">
      <c r="A2530">
        <v>1930</v>
      </c>
      <c r="B2530" s="1">
        <v>45595</v>
      </c>
      <c r="C2530">
        <v>302</v>
      </c>
      <c r="D2530">
        <v>1</v>
      </c>
      <c r="E2530">
        <v>1</v>
      </c>
      <c r="F2530">
        <v>1</v>
      </c>
      <c r="G2530" t="s">
        <v>1044</v>
      </c>
      <c r="H2530">
        <f>_xlfn.XLOOKUP(D2530, productos!$A$2:$A$150, productos!$D$2:$D$150, "No Encontrado", 0)</f>
        <v>12.24</v>
      </c>
      <c r="I2530">
        <f t="shared" si="39"/>
        <v>12.24</v>
      </c>
    </row>
    <row r="2531" spans="1:9" x14ac:dyDescent="0.25">
      <c r="A2531">
        <v>2383</v>
      </c>
      <c r="B2531" s="1">
        <v>45595</v>
      </c>
      <c r="C2531">
        <v>237</v>
      </c>
      <c r="D2531">
        <v>14</v>
      </c>
      <c r="E2531">
        <v>3</v>
      </c>
      <c r="F2531">
        <v>4</v>
      </c>
      <c r="G2531" t="s">
        <v>1044</v>
      </c>
      <c r="H2531">
        <f>_xlfn.XLOOKUP(D2531, productos!$A$2:$A$150, productos!$D$2:$D$150, "No Encontrado", 0)</f>
        <v>12.36</v>
      </c>
      <c r="I2531">
        <f t="shared" si="39"/>
        <v>37.08</v>
      </c>
    </row>
    <row r="2532" spans="1:9" x14ac:dyDescent="0.25">
      <c r="A2532">
        <v>2858</v>
      </c>
      <c r="B2532" s="1">
        <v>45595</v>
      </c>
      <c r="C2532">
        <v>154</v>
      </c>
      <c r="D2532">
        <v>15</v>
      </c>
      <c r="E2532">
        <v>1</v>
      </c>
      <c r="F2532">
        <v>5</v>
      </c>
      <c r="G2532" t="s">
        <v>1044</v>
      </c>
      <c r="H2532">
        <f>_xlfn.XLOOKUP(D2532, productos!$A$2:$A$150, productos!$D$2:$D$150, "No Encontrado", 0)</f>
        <v>3.51</v>
      </c>
      <c r="I2532">
        <f t="shared" si="39"/>
        <v>3.51</v>
      </c>
    </row>
    <row r="2533" spans="1:9" x14ac:dyDescent="0.25">
      <c r="A2533">
        <v>965</v>
      </c>
      <c r="B2533" s="1">
        <v>45596</v>
      </c>
      <c r="C2533">
        <v>177</v>
      </c>
      <c r="D2533">
        <v>19</v>
      </c>
      <c r="E2533">
        <v>4</v>
      </c>
      <c r="F2533">
        <v>3</v>
      </c>
      <c r="G2533" t="s">
        <v>1044</v>
      </c>
      <c r="H2533">
        <f>_xlfn.XLOOKUP(D2533, productos!$A$2:$A$150, productos!$D$2:$D$150, "No Encontrado", 0)</f>
        <v>6.54</v>
      </c>
      <c r="I2533">
        <f t="shared" si="39"/>
        <v>26.16</v>
      </c>
    </row>
    <row r="2534" spans="1:9" x14ac:dyDescent="0.25">
      <c r="A2534">
        <v>1192</v>
      </c>
      <c r="B2534" s="1">
        <v>45596</v>
      </c>
      <c r="C2534">
        <v>277</v>
      </c>
      <c r="D2534">
        <v>8</v>
      </c>
      <c r="E2534">
        <v>4</v>
      </c>
      <c r="F2534">
        <v>5</v>
      </c>
      <c r="G2534" t="s">
        <v>1045</v>
      </c>
      <c r="H2534">
        <f>_xlfn.XLOOKUP(D2534, productos!$A$2:$A$150, productos!$D$2:$D$150, "No Encontrado", 0)</f>
        <v>16.21</v>
      </c>
      <c r="I2534">
        <f t="shared" si="39"/>
        <v>64.84</v>
      </c>
    </row>
    <row r="2535" spans="1:9" x14ac:dyDescent="0.25">
      <c r="A2535">
        <v>1361</v>
      </c>
      <c r="B2535" s="1">
        <v>45596</v>
      </c>
      <c r="C2535">
        <v>192</v>
      </c>
      <c r="D2535">
        <v>28</v>
      </c>
      <c r="E2535">
        <v>1</v>
      </c>
      <c r="F2535">
        <v>3</v>
      </c>
      <c r="G2535" t="s">
        <v>1044</v>
      </c>
      <c r="H2535">
        <f>_xlfn.XLOOKUP(D2535, productos!$A$2:$A$150, productos!$D$2:$D$150, "No Encontrado", 0)</f>
        <v>9.4499999999999993</v>
      </c>
      <c r="I2535">
        <f t="shared" si="39"/>
        <v>9.4499999999999993</v>
      </c>
    </row>
    <row r="2536" spans="1:9" x14ac:dyDescent="0.25">
      <c r="A2536">
        <v>1436</v>
      </c>
      <c r="B2536" s="1">
        <v>45596</v>
      </c>
      <c r="C2536">
        <v>165</v>
      </c>
      <c r="D2536">
        <v>14</v>
      </c>
      <c r="E2536">
        <v>2</v>
      </c>
      <c r="F2536">
        <v>4</v>
      </c>
      <c r="G2536" t="s">
        <v>1044</v>
      </c>
      <c r="H2536">
        <f>_xlfn.XLOOKUP(D2536, productos!$A$2:$A$150, productos!$D$2:$D$150, "No Encontrado", 0)</f>
        <v>12.36</v>
      </c>
      <c r="I2536">
        <f t="shared" si="39"/>
        <v>24.72</v>
      </c>
    </row>
    <row r="2537" spans="1:9" x14ac:dyDescent="0.25">
      <c r="A2537">
        <v>1610</v>
      </c>
      <c r="B2537" s="1">
        <v>45596</v>
      </c>
      <c r="C2537">
        <v>198</v>
      </c>
      <c r="D2537">
        <v>31</v>
      </c>
      <c r="E2537">
        <v>1</v>
      </c>
      <c r="F2537">
        <v>1</v>
      </c>
      <c r="G2537" t="s">
        <v>1044</v>
      </c>
      <c r="H2537">
        <f>_xlfn.XLOOKUP(D2537, productos!$A$2:$A$150, productos!$D$2:$D$150, "No Encontrado", 0)</f>
        <v>5.24</v>
      </c>
      <c r="I2537">
        <f t="shared" si="39"/>
        <v>5.24</v>
      </c>
    </row>
    <row r="2538" spans="1:9" x14ac:dyDescent="0.25">
      <c r="A2538">
        <v>1644</v>
      </c>
      <c r="B2538" s="1">
        <v>45596</v>
      </c>
      <c r="C2538">
        <v>111</v>
      </c>
      <c r="D2538">
        <v>32</v>
      </c>
      <c r="E2538">
        <v>6</v>
      </c>
      <c r="F2538">
        <v>5</v>
      </c>
      <c r="G2538" t="s">
        <v>1044</v>
      </c>
      <c r="H2538">
        <f>_xlfn.XLOOKUP(D2538, productos!$A$2:$A$150, productos!$D$2:$D$150, "No Encontrado", 0)</f>
        <v>6.25</v>
      </c>
      <c r="I2538">
        <f t="shared" si="39"/>
        <v>37.5</v>
      </c>
    </row>
    <row r="2539" spans="1:9" x14ac:dyDescent="0.25">
      <c r="A2539">
        <v>1972</v>
      </c>
      <c r="B2539" s="1">
        <v>45596</v>
      </c>
      <c r="C2539">
        <v>305</v>
      </c>
      <c r="D2539">
        <v>22</v>
      </c>
      <c r="E2539">
        <v>5</v>
      </c>
      <c r="F2539">
        <v>2</v>
      </c>
      <c r="G2539" t="s">
        <v>1044</v>
      </c>
      <c r="H2539">
        <f>_xlfn.XLOOKUP(D2539, productos!$A$2:$A$150, productos!$D$2:$D$150, "No Encontrado", 0)</f>
        <v>4.21</v>
      </c>
      <c r="I2539">
        <f t="shared" si="39"/>
        <v>21.05</v>
      </c>
    </row>
    <row r="2540" spans="1:9" x14ac:dyDescent="0.25">
      <c r="A2540">
        <v>2843</v>
      </c>
      <c r="B2540" s="1">
        <v>45596</v>
      </c>
      <c r="C2540">
        <v>3</v>
      </c>
      <c r="D2540">
        <v>32</v>
      </c>
      <c r="E2540">
        <v>6</v>
      </c>
      <c r="F2540">
        <v>5</v>
      </c>
      <c r="G2540" t="s">
        <v>1044</v>
      </c>
      <c r="H2540">
        <f>_xlfn.XLOOKUP(D2540, productos!$A$2:$A$150, productos!$D$2:$D$150, "No Encontrado", 0)</f>
        <v>6.25</v>
      </c>
      <c r="I2540">
        <f t="shared" si="39"/>
        <v>37.5</v>
      </c>
    </row>
    <row r="2541" spans="1:9" x14ac:dyDescent="0.25">
      <c r="A2541">
        <v>963</v>
      </c>
      <c r="B2541" s="1">
        <v>45597</v>
      </c>
      <c r="C2541">
        <v>107</v>
      </c>
      <c r="D2541">
        <v>17</v>
      </c>
      <c r="E2541">
        <v>4</v>
      </c>
      <c r="F2541">
        <v>4</v>
      </c>
      <c r="G2541" t="s">
        <v>1044</v>
      </c>
      <c r="H2541">
        <f>_xlfn.XLOOKUP(D2541, productos!$A$2:$A$150, productos!$D$2:$D$150, "No Encontrado", 0)</f>
        <v>6.54</v>
      </c>
      <c r="I2541">
        <f t="shared" si="39"/>
        <v>26.16</v>
      </c>
    </row>
    <row r="2542" spans="1:9" x14ac:dyDescent="0.25">
      <c r="A2542">
        <v>1048</v>
      </c>
      <c r="B2542" s="1">
        <v>45597</v>
      </c>
      <c r="C2542">
        <v>185</v>
      </c>
      <c r="D2542">
        <v>5</v>
      </c>
      <c r="E2542">
        <v>1</v>
      </c>
      <c r="F2542">
        <v>2</v>
      </c>
      <c r="G2542" t="s">
        <v>1044</v>
      </c>
      <c r="H2542">
        <f>_xlfn.XLOOKUP(D2542, productos!$A$2:$A$150, productos!$D$2:$D$150, "No Encontrado", 0)</f>
        <v>5.65</v>
      </c>
      <c r="I2542">
        <f t="shared" si="39"/>
        <v>5.65</v>
      </c>
    </row>
    <row r="2543" spans="1:9" x14ac:dyDescent="0.25">
      <c r="A2543">
        <v>1510</v>
      </c>
      <c r="B2543" s="1">
        <v>45597</v>
      </c>
      <c r="C2543">
        <v>34</v>
      </c>
      <c r="D2543">
        <v>1</v>
      </c>
      <c r="E2543">
        <v>3</v>
      </c>
      <c r="F2543">
        <v>2</v>
      </c>
      <c r="G2543" t="s">
        <v>1044</v>
      </c>
      <c r="H2543">
        <f>_xlfn.XLOOKUP(D2543, productos!$A$2:$A$150, productos!$D$2:$D$150, "No Encontrado", 0)</f>
        <v>12.24</v>
      </c>
      <c r="I2543">
        <f t="shared" si="39"/>
        <v>36.72</v>
      </c>
    </row>
    <row r="2544" spans="1:9" x14ac:dyDescent="0.25">
      <c r="A2544">
        <v>1978</v>
      </c>
      <c r="B2544" s="1">
        <v>45597</v>
      </c>
      <c r="C2544">
        <v>210</v>
      </c>
      <c r="D2544">
        <v>21</v>
      </c>
      <c r="E2544">
        <v>3</v>
      </c>
      <c r="F2544">
        <v>4</v>
      </c>
      <c r="G2544" t="s">
        <v>1044</v>
      </c>
      <c r="H2544">
        <f>_xlfn.XLOOKUP(D2544, productos!$A$2:$A$150, productos!$D$2:$D$150, "No Encontrado", 0)</f>
        <v>3.25</v>
      </c>
      <c r="I2544">
        <f t="shared" si="39"/>
        <v>9.75</v>
      </c>
    </row>
    <row r="2545" spans="1:9" x14ac:dyDescent="0.25">
      <c r="A2545">
        <v>2143</v>
      </c>
      <c r="B2545" s="1">
        <v>45597</v>
      </c>
      <c r="C2545">
        <v>54</v>
      </c>
      <c r="D2545">
        <v>38</v>
      </c>
      <c r="E2545">
        <v>6</v>
      </c>
      <c r="F2545">
        <v>4</v>
      </c>
      <c r="G2545" t="s">
        <v>1044</v>
      </c>
      <c r="H2545">
        <f>_xlfn.XLOOKUP(D2545, productos!$A$2:$A$150, productos!$D$2:$D$150, "No Encontrado", 0)</f>
        <v>6.21</v>
      </c>
      <c r="I2545">
        <f t="shared" si="39"/>
        <v>37.26</v>
      </c>
    </row>
    <row r="2546" spans="1:9" x14ac:dyDescent="0.25">
      <c r="A2546">
        <v>2247</v>
      </c>
      <c r="B2546" s="1">
        <v>45597</v>
      </c>
      <c r="C2546">
        <v>15</v>
      </c>
      <c r="D2546">
        <v>12</v>
      </c>
      <c r="E2546">
        <v>5</v>
      </c>
      <c r="F2546">
        <v>4</v>
      </c>
      <c r="G2546" t="s">
        <v>1044</v>
      </c>
      <c r="H2546">
        <f>_xlfn.XLOOKUP(D2546, productos!$A$2:$A$150, productos!$D$2:$D$150, "No Encontrado", 0)</f>
        <v>8.1199999999999992</v>
      </c>
      <c r="I2546">
        <f t="shared" si="39"/>
        <v>40.599999999999994</v>
      </c>
    </row>
    <row r="2547" spans="1:9" x14ac:dyDescent="0.25">
      <c r="A2547">
        <v>2877</v>
      </c>
      <c r="B2547" s="1">
        <v>45597</v>
      </c>
      <c r="C2547">
        <v>152</v>
      </c>
      <c r="D2547">
        <v>23</v>
      </c>
      <c r="E2547">
        <v>4</v>
      </c>
      <c r="F2547">
        <v>5</v>
      </c>
      <c r="G2547" t="s">
        <v>1045</v>
      </c>
      <c r="H2547">
        <f>_xlfn.XLOOKUP(D2547, productos!$A$2:$A$150, productos!$D$2:$D$150, "No Encontrado", 0)</f>
        <v>8.23</v>
      </c>
      <c r="I2547">
        <f t="shared" si="39"/>
        <v>32.92</v>
      </c>
    </row>
    <row r="2548" spans="1:9" x14ac:dyDescent="0.25">
      <c r="A2548">
        <v>830</v>
      </c>
      <c r="B2548" s="1">
        <v>45598</v>
      </c>
      <c r="C2548">
        <v>55</v>
      </c>
      <c r="D2548">
        <v>20</v>
      </c>
      <c r="E2548">
        <v>1</v>
      </c>
      <c r="F2548">
        <v>5</v>
      </c>
      <c r="G2548" t="s">
        <v>1044</v>
      </c>
      <c r="H2548">
        <f>_xlfn.XLOOKUP(D2548, productos!$A$2:$A$150, productos!$D$2:$D$150, "No Encontrado", 0)</f>
        <v>4.25</v>
      </c>
      <c r="I2548">
        <f t="shared" si="39"/>
        <v>4.25</v>
      </c>
    </row>
    <row r="2549" spans="1:9" x14ac:dyDescent="0.25">
      <c r="A2549">
        <v>1304</v>
      </c>
      <c r="B2549" s="1">
        <v>45598</v>
      </c>
      <c r="C2549">
        <v>19</v>
      </c>
      <c r="D2549">
        <v>21</v>
      </c>
      <c r="E2549">
        <v>6</v>
      </c>
      <c r="F2549">
        <v>5</v>
      </c>
      <c r="G2549" t="s">
        <v>1044</v>
      </c>
      <c r="H2549">
        <f>_xlfn.XLOOKUP(D2549, productos!$A$2:$A$150, productos!$D$2:$D$150, "No Encontrado", 0)</f>
        <v>3.25</v>
      </c>
      <c r="I2549">
        <f t="shared" si="39"/>
        <v>19.5</v>
      </c>
    </row>
    <row r="2550" spans="1:9" x14ac:dyDescent="0.25">
      <c r="A2550">
        <v>1445</v>
      </c>
      <c r="B2550" s="1">
        <v>45598</v>
      </c>
      <c r="C2550">
        <v>104</v>
      </c>
      <c r="D2550">
        <v>12</v>
      </c>
      <c r="E2550">
        <v>2</v>
      </c>
      <c r="F2550">
        <v>5</v>
      </c>
      <c r="G2550" t="s">
        <v>1045</v>
      </c>
      <c r="H2550">
        <f>_xlfn.XLOOKUP(D2550, productos!$A$2:$A$150, productos!$D$2:$D$150, "No Encontrado", 0)</f>
        <v>8.1199999999999992</v>
      </c>
      <c r="I2550">
        <f t="shared" si="39"/>
        <v>16.239999999999998</v>
      </c>
    </row>
    <row r="2551" spans="1:9" x14ac:dyDescent="0.25">
      <c r="A2551">
        <v>1869</v>
      </c>
      <c r="B2551" s="1">
        <v>45598</v>
      </c>
      <c r="C2551">
        <v>205</v>
      </c>
      <c r="D2551">
        <v>16</v>
      </c>
      <c r="E2551">
        <v>4</v>
      </c>
      <c r="F2551">
        <v>5</v>
      </c>
      <c r="G2551" t="s">
        <v>1044</v>
      </c>
      <c r="H2551">
        <f>_xlfn.XLOOKUP(D2551, productos!$A$2:$A$150, productos!$D$2:$D$150, "No Encontrado", 0)</f>
        <v>15.23</v>
      </c>
      <c r="I2551">
        <f t="shared" si="39"/>
        <v>60.92</v>
      </c>
    </row>
    <row r="2552" spans="1:9" x14ac:dyDescent="0.25">
      <c r="A2552">
        <v>2987</v>
      </c>
      <c r="B2552" s="1">
        <v>45598</v>
      </c>
      <c r="C2552">
        <v>2</v>
      </c>
      <c r="D2552">
        <v>12</v>
      </c>
      <c r="E2552">
        <v>3</v>
      </c>
      <c r="F2552">
        <v>5</v>
      </c>
      <c r="G2552" t="s">
        <v>1044</v>
      </c>
      <c r="H2552">
        <f>_xlfn.XLOOKUP(D2552, productos!$A$2:$A$150, productos!$D$2:$D$150, "No Encontrado", 0)</f>
        <v>8.1199999999999992</v>
      </c>
      <c r="I2552">
        <f t="shared" si="39"/>
        <v>24.36</v>
      </c>
    </row>
    <row r="2553" spans="1:9" x14ac:dyDescent="0.25">
      <c r="A2553">
        <v>775</v>
      </c>
      <c r="B2553" s="1">
        <v>45599</v>
      </c>
      <c r="C2553">
        <v>71</v>
      </c>
      <c r="D2553">
        <v>17</v>
      </c>
      <c r="E2553">
        <v>6</v>
      </c>
      <c r="F2553">
        <v>2</v>
      </c>
      <c r="G2553" t="s">
        <v>1044</v>
      </c>
      <c r="H2553">
        <f>_xlfn.XLOOKUP(D2553, productos!$A$2:$A$150, productos!$D$2:$D$150, "No Encontrado", 0)</f>
        <v>6.54</v>
      </c>
      <c r="I2553">
        <f t="shared" si="39"/>
        <v>39.24</v>
      </c>
    </row>
    <row r="2554" spans="1:9" x14ac:dyDescent="0.25">
      <c r="A2554">
        <v>834</v>
      </c>
      <c r="B2554" s="1">
        <v>45599</v>
      </c>
      <c r="C2554">
        <v>111</v>
      </c>
      <c r="D2554">
        <v>25</v>
      </c>
      <c r="E2554">
        <v>4</v>
      </c>
      <c r="F2554">
        <v>1</v>
      </c>
      <c r="G2554" t="s">
        <v>1044</v>
      </c>
      <c r="H2554">
        <f>_xlfn.XLOOKUP(D2554, productos!$A$2:$A$150, productos!$D$2:$D$150, "No Encontrado", 0)</f>
        <v>15.45</v>
      </c>
      <c r="I2554">
        <f t="shared" si="39"/>
        <v>61.8</v>
      </c>
    </row>
    <row r="2555" spans="1:9" x14ac:dyDescent="0.25">
      <c r="A2555">
        <v>890</v>
      </c>
      <c r="B2555" s="1">
        <v>45599</v>
      </c>
      <c r="C2555">
        <v>296</v>
      </c>
      <c r="D2555">
        <v>7</v>
      </c>
      <c r="E2555">
        <v>5</v>
      </c>
      <c r="F2555">
        <v>4</v>
      </c>
      <c r="G2555" t="s">
        <v>1044</v>
      </c>
      <c r="H2555">
        <f>_xlfn.XLOOKUP(D2555, productos!$A$2:$A$150, productos!$D$2:$D$150, "No Encontrado", 0)</f>
        <v>11.25</v>
      </c>
      <c r="I2555">
        <f t="shared" si="39"/>
        <v>56.25</v>
      </c>
    </row>
    <row r="2556" spans="1:9" x14ac:dyDescent="0.25">
      <c r="A2556">
        <v>1029</v>
      </c>
      <c r="B2556" s="1">
        <v>45599</v>
      </c>
      <c r="C2556">
        <v>9</v>
      </c>
      <c r="D2556">
        <v>29</v>
      </c>
      <c r="E2556">
        <v>1</v>
      </c>
      <c r="F2556">
        <v>5</v>
      </c>
      <c r="G2556" t="s">
        <v>1045</v>
      </c>
      <c r="H2556">
        <f>_xlfn.XLOOKUP(D2556, productos!$A$2:$A$150, productos!$D$2:$D$150, "No Encontrado", 0)</f>
        <v>11.54</v>
      </c>
      <c r="I2556">
        <f t="shared" si="39"/>
        <v>11.54</v>
      </c>
    </row>
    <row r="2557" spans="1:9" x14ac:dyDescent="0.25">
      <c r="A2557">
        <v>1161</v>
      </c>
      <c r="B2557" s="1">
        <v>45599</v>
      </c>
      <c r="C2557">
        <v>277</v>
      </c>
      <c r="D2557">
        <v>26</v>
      </c>
      <c r="E2557">
        <v>6</v>
      </c>
      <c r="F2557">
        <v>4</v>
      </c>
      <c r="G2557" t="s">
        <v>1044</v>
      </c>
      <c r="H2557">
        <f>_xlfn.XLOOKUP(D2557, productos!$A$2:$A$150, productos!$D$2:$D$150, "No Encontrado", 0)</f>
        <v>9.5399999999999991</v>
      </c>
      <c r="I2557">
        <f t="shared" si="39"/>
        <v>57.239999999999995</v>
      </c>
    </row>
    <row r="2558" spans="1:9" x14ac:dyDescent="0.25">
      <c r="A2558">
        <v>1396</v>
      </c>
      <c r="B2558" s="1">
        <v>45599</v>
      </c>
      <c r="C2558">
        <v>209</v>
      </c>
      <c r="D2558">
        <v>9</v>
      </c>
      <c r="E2558">
        <v>1</v>
      </c>
      <c r="F2558">
        <v>5</v>
      </c>
      <c r="G2558" t="s">
        <v>1044</v>
      </c>
      <c r="H2558">
        <f>_xlfn.XLOOKUP(D2558, productos!$A$2:$A$150, productos!$D$2:$D$150, "No Encontrado", 0)</f>
        <v>18.559999999999999</v>
      </c>
      <c r="I2558">
        <f t="shared" si="39"/>
        <v>18.559999999999999</v>
      </c>
    </row>
    <row r="2559" spans="1:9" x14ac:dyDescent="0.25">
      <c r="A2559">
        <v>1489</v>
      </c>
      <c r="B2559" s="1">
        <v>45599</v>
      </c>
      <c r="C2559">
        <v>22</v>
      </c>
      <c r="D2559">
        <v>8</v>
      </c>
      <c r="E2559">
        <v>4</v>
      </c>
      <c r="F2559">
        <v>5</v>
      </c>
      <c r="G2559" t="s">
        <v>1044</v>
      </c>
      <c r="H2559">
        <f>_xlfn.XLOOKUP(D2559, productos!$A$2:$A$150, productos!$D$2:$D$150, "No Encontrado", 0)</f>
        <v>16.21</v>
      </c>
      <c r="I2559">
        <f t="shared" si="39"/>
        <v>64.84</v>
      </c>
    </row>
    <row r="2560" spans="1:9" x14ac:dyDescent="0.25">
      <c r="A2560">
        <v>1711</v>
      </c>
      <c r="B2560" s="1">
        <v>45599</v>
      </c>
      <c r="C2560">
        <v>183</v>
      </c>
      <c r="D2560">
        <v>19</v>
      </c>
      <c r="E2560">
        <v>4</v>
      </c>
      <c r="F2560">
        <v>4</v>
      </c>
      <c r="G2560" t="s">
        <v>1044</v>
      </c>
      <c r="H2560">
        <f>_xlfn.XLOOKUP(D2560, productos!$A$2:$A$150, productos!$D$2:$D$150, "No Encontrado", 0)</f>
        <v>6.54</v>
      </c>
      <c r="I2560">
        <f t="shared" si="39"/>
        <v>26.16</v>
      </c>
    </row>
    <row r="2561" spans="1:9" x14ac:dyDescent="0.25">
      <c r="A2561">
        <v>2011</v>
      </c>
      <c r="B2561" s="1">
        <v>45599</v>
      </c>
      <c r="C2561">
        <v>322</v>
      </c>
      <c r="D2561">
        <v>8</v>
      </c>
      <c r="E2561">
        <v>6</v>
      </c>
      <c r="F2561">
        <v>3</v>
      </c>
      <c r="G2561" t="s">
        <v>1045</v>
      </c>
      <c r="H2561">
        <f>_xlfn.XLOOKUP(D2561, productos!$A$2:$A$150, productos!$D$2:$D$150, "No Encontrado", 0)</f>
        <v>16.21</v>
      </c>
      <c r="I2561">
        <f t="shared" si="39"/>
        <v>97.26</v>
      </c>
    </row>
    <row r="2562" spans="1:9" x14ac:dyDescent="0.25">
      <c r="A2562">
        <v>2063</v>
      </c>
      <c r="B2562" s="1">
        <v>45599</v>
      </c>
      <c r="C2562">
        <v>8</v>
      </c>
      <c r="D2562">
        <v>32</v>
      </c>
      <c r="E2562">
        <v>1</v>
      </c>
      <c r="F2562">
        <v>1</v>
      </c>
      <c r="G2562" t="s">
        <v>1044</v>
      </c>
      <c r="H2562">
        <f>_xlfn.XLOOKUP(D2562, productos!$A$2:$A$150, productos!$D$2:$D$150, "No Encontrado", 0)</f>
        <v>6.25</v>
      </c>
      <c r="I2562">
        <f t="shared" si="39"/>
        <v>6.25</v>
      </c>
    </row>
    <row r="2563" spans="1:9" x14ac:dyDescent="0.25">
      <c r="A2563">
        <v>2753</v>
      </c>
      <c r="B2563" s="1">
        <v>45599</v>
      </c>
      <c r="C2563">
        <v>319</v>
      </c>
      <c r="D2563">
        <v>5</v>
      </c>
      <c r="E2563">
        <v>3</v>
      </c>
      <c r="F2563">
        <v>4</v>
      </c>
      <c r="G2563" t="s">
        <v>1044</v>
      </c>
      <c r="H2563">
        <f>_xlfn.XLOOKUP(D2563, productos!$A$2:$A$150, productos!$D$2:$D$150, "No Encontrado", 0)</f>
        <v>5.65</v>
      </c>
      <c r="I2563">
        <f t="shared" ref="I2563:I2626" si="40">E2563*H2563</f>
        <v>16.950000000000003</v>
      </c>
    </row>
    <row r="2564" spans="1:9" x14ac:dyDescent="0.25">
      <c r="A2564">
        <v>544</v>
      </c>
      <c r="B2564" s="1">
        <v>45600</v>
      </c>
      <c r="C2564">
        <v>252</v>
      </c>
      <c r="D2564">
        <v>26</v>
      </c>
      <c r="E2564">
        <v>3</v>
      </c>
      <c r="F2564">
        <v>4</v>
      </c>
      <c r="G2564" t="s">
        <v>1044</v>
      </c>
      <c r="H2564">
        <f>_xlfn.XLOOKUP(D2564, productos!$A$2:$A$150, productos!$D$2:$D$150, "No Encontrado", 0)</f>
        <v>9.5399999999999991</v>
      </c>
      <c r="I2564">
        <f t="shared" si="40"/>
        <v>28.619999999999997</v>
      </c>
    </row>
    <row r="2565" spans="1:9" x14ac:dyDescent="0.25">
      <c r="A2565">
        <v>982</v>
      </c>
      <c r="B2565" s="1">
        <v>45600</v>
      </c>
      <c r="C2565">
        <v>245</v>
      </c>
      <c r="D2565">
        <v>19</v>
      </c>
      <c r="E2565">
        <v>3</v>
      </c>
      <c r="F2565">
        <v>4</v>
      </c>
      <c r="G2565" t="s">
        <v>1044</v>
      </c>
      <c r="H2565">
        <f>_xlfn.XLOOKUP(D2565, productos!$A$2:$A$150, productos!$D$2:$D$150, "No Encontrado", 0)</f>
        <v>6.54</v>
      </c>
      <c r="I2565">
        <f t="shared" si="40"/>
        <v>19.62</v>
      </c>
    </row>
    <row r="2566" spans="1:9" x14ac:dyDescent="0.25">
      <c r="A2566">
        <v>1490</v>
      </c>
      <c r="B2566" s="1">
        <v>45600</v>
      </c>
      <c r="C2566">
        <v>255</v>
      </c>
      <c r="D2566">
        <v>7</v>
      </c>
      <c r="E2566">
        <v>3</v>
      </c>
      <c r="F2566">
        <v>3</v>
      </c>
      <c r="G2566" t="s">
        <v>1044</v>
      </c>
      <c r="H2566">
        <f>_xlfn.XLOOKUP(D2566, productos!$A$2:$A$150, productos!$D$2:$D$150, "No Encontrado", 0)</f>
        <v>11.25</v>
      </c>
      <c r="I2566">
        <f t="shared" si="40"/>
        <v>33.75</v>
      </c>
    </row>
    <row r="2567" spans="1:9" x14ac:dyDescent="0.25">
      <c r="A2567">
        <v>1573</v>
      </c>
      <c r="B2567" s="1">
        <v>45600</v>
      </c>
      <c r="C2567">
        <v>298</v>
      </c>
      <c r="D2567">
        <v>24</v>
      </c>
      <c r="E2567">
        <v>4</v>
      </c>
      <c r="F2567">
        <v>4</v>
      </c>
      <c r="G2567" t="s">
        <v>1044</v>
      </c>
      <c r="H2567">
        <f>_xlfn.XLOOKUP(D2567, productos!$A$2:$A$150, productos!$D$2:$D$150, "No Encontrado", 0)</f>
        <v>13.54</v>
      </c>
      <c r="I2567">
        <f t="shared" si="40"/>
        <v>54.16</v>
      </c>
    </row>
    <row r="2568" spans="1:9" x14ac:dyDescent="0.25">
      <c r="A2568">
        <v>1832</v>
      </c>
      <c r="B2568" s="1">
        <v>45600</v>
      </c>
      <c r="C2568">
        <v>173</v>
      </c>
      <c r="D2568">
        <v>22</v>
      </c>
      <c r="E2568">
        <v>1</v>
      </c>
      <c r="F2568">
        <v>3</v>
      </c>
      <c r="G2568" t="s">
        <v>1044</v>
      </c>
      <c r="H2568">
        <f>_xlfn.XLOOKUP(D2568, productos!$A$2:$A$150, productos!$D$2:$D$150, "No Encontrado", 0)</f>
        <v>4.21</v>
      </c>
      <c r="I2568">
        <f t="shared" si="40"/>
        <v>4.21</v>
      </c>
    </row>
    <row r="2569" spans="1:9" x14ac:dyDescent="0.25">
      <c r="A2569">
        <v>2121</v>
      </c>
      <c r="B2569" s="1">
        <v>45600</v>
      </c>
      <c r="C2569">
        <v>261</v>
      </c>
      <c r="D2569">
        <v>30</v>
      </c>
      <c r="E2569">
        <v>5</v>
      </c>
      <c r="F2569">
        <v>4</v>
      </c>
      <c r="G2569" t="s">
        <v>1044</v>
      </c>
      <c r="H2569">
        <f>_xlfn.XLOOKUP(D2569, productos!$A$2:$A$150, productos!$D$2:$D$150, "No Encontrado", 0)</f>
        <v>13.54</v>
      </c>
      <c r="I2569">
        <f t="shared" si="40"/>
        <v>67.699999999999989</v>
      </c>
    </row>
    <row r="2570" spans="1:9" x14ac:dyDescent="0.25">
      <c r="A2570">
        <v>791</v>
      </c>
      <c r="B2570" s="1">
        <v>45601</v>
      </c>
      <c r="C2570">
        <v>210</v>
      </c>
      <c r="D2570">
        <v>32</v>
      </c>
      <c r="E2570">
        <v>2</v>
      </c>
      <c r="F2570">
        <v>4</v>
      </c>
      <c r="G2570" t="s">
        <v>1044</v>
      </c>
      <c r="H2570">
        <f>_xlfn.XLOOKUP(D2570, productos!$A$2:$A$150, productos!$D$2:$D$150, "No Encontrado", 0)</f>
        <v>6.25</v>
      </c>
      <c r="I2570">
        <f t="shared" si="40"/>
        <v>12.5</v>
      </c>
    </row>
    <row r="2571" spans="1:9" x14ac:dyDescent="0.25">
      <c r="A2571">
        <v>1073</v>
      </c>
      <c r="B2571" s="1">
        <v>45601</v>
      </c>
      <c r="C2571">
        <v>173</v>
      </c>
      <c r="D2571">
        <v>35</v>
      </c>
      <c r="E2571">
        <v>5</v>
      </c>
      <c r="F2571">
        <v>5</v>
      </c>
      <c r="G2571" t="s">
        <v>1045</v>
      </c>
      <c r="H2571">
        <f>_xlfn.XLOOKUP(D2571, productos!$A$2:$A$150, productos!$D$2:$D$150, "No Encontrado", 0)</f>
        <v>4.25</v>
      </c>
      <c r="I2571">
        <f t="shared" si="40"/>
        <v>21.25</v>
      </c>
    </row>
    <row r="2572" spans="1:9" x14ac:dyDescent="0.25">
      <c r="A2572">
        <v>1364</v>
      </c>
      <c r="B2572" s="1">
        <v>45601</v>
      </c>
      <c r="C2572">
        <v>65</v>
      </c>
      <c r="D2572">
        <v>33</v>
      </c>
      <c r="E2572">
        <v>3</v>
      </c>
      <c r="F2572">
        <v>1</v>
      </c>
      <c r="G2572" t="s">
        <v>1044</v>
      </c>
      <c r="H2572">
        <f>_xlfn.XLOOKUP(D2572, productos!$A$2:$A$150, productos!$D$2:$D$150, "No Encontrado", 0)</f>
        <v>8.5399999999999991</v>
      </c>
      <c r="I2572">
        <f t="shared" si="40"/>
        <v>25.619999999999997</v>
      </c>
    </row>
    <row r="2573" spans="1:9" x14ac:dyDescent="0.25">
      <c r="A2573">
        <v>1939</v>
      </c>
      <c r="B2573" s="1">
        <v>45601</v>
      </c>
      <c r="C2573">
        <v>141</v>
      </c>
      <c r="D2573">
        <v>27</v>
      </c>
      <c r="E2573">
        <v>5</v>
      </c>
      <c r="F2573">
        <v>5</v>
      </c>
      <c r="G2573" t="s">
        <v>1044</v>
      </c>
      <c r="H2573">
        <f>_xlfn.XLOOKUP(D2573, productos!$A$2:$A$150, productos!$D$2:$D$150, "No Encontrado", 0)</f>
        <v>6.21</v>
      </c>
      <c r="I2573">
        <f t="shared" si="40"/>
        <v>31.05</v>
      </c>
    </row>
    <row r="2574" spans="1:9" x14ac:dyDescent="0.25">
      <c r="A2574">
        <v>2030</v>
      </c>
      <c r="B2574" s="1">
        <v>45601</v>
      </c>
      <c r="C2574">
        <v>70</v>
      </c>
      <c r="D2574">
        <v>1</v>
      </c>
      <c r="E2574">
        <v>6</v>
      </c>
      <c r="F2574">
        <v>5</v>
      </c>
      <c r="G2574" t="s">
        <v>1045</v>
      </c>
      <c r="H2574">
        <f>_xlfn.XLOOKUP(D2574, productos!$A$2:$A$150, productos!$D$2:$D$150, "No Encontrado", 0)</f>
        <v>12.24</v>
      </c>
      <c r="I2574">
        <f t="shared" si="40"/>
        <v>73.44</v>
      </c>
    </row>
    <row r="2575" spans="1:9" x14ac:dyDescent="0.25">
      <c r="A2575">
        <v>2445</v>
      </c>
      <c r="B2575" s="1">
        <v>45601</v>
      </c>
      <c r="C2575">
        <v>56</v>
      </c>
      <c r="D2575">
        <v>14</v>
      </c>
      <c r="E2575">
        <v>3</v>
      </c>
      <c r="F2575">
        <v>4</v>
      </c>
      <c r="G2575" t="s">
        <v>1044</v>
      </c>
      <c r="H2575">
        <f>_xlfn.XLOOKUP(D2575, productos!$A$2:$A$150, productos!$D$2:$D$150, "No Encontrado", 0)</f>
        <v>12.36</v>
      </c>
      <c r="I2575">
        <f t="shared" si="40"/>
        <v>37.08</v>
      </c>
    </row>
    <row r="2576" spans="1:9" x14ac:dyDescent="0.25">
      <c r="A2576">
        <v>2603</v>
      </c>
      <c r="B2576" s="1">
        <v>45601</v>
      </c>
      <c r="C2576">
        <v>156</v>
      </c>
      <c r="D2576">
        <v>37</v>
      </c>
      <c r="E2576">
        <v>1</v>
      </c>
      <c r="F2576">
        <v>1</v>
      </c>
      <c r="G2576" t="s">
        <v>1045</v>
      </c>
      <c r="H2576">
        <f>_xlfn.XLOOKUP(D2576, productos!$A$2:$A$150, productos!$D$2:$D$150, "No Encontrado", 0)</f>
        <v>3.65</v>
      </c>
      <c r="I2576">
        <f t="shared" si="40"/>
        <v>3.65</v>
      </c>
    </row>
    <row r="2577" spans="1:9" x14ac:dyDescent="0.25">
      <c r="A2577">
        <v>2644</v>
      </c>
      <c r="B2577" s="1">
        <v>45601</v>
      </c>
      <c r="C2577">
        <v>69</v>
      </c>
      <c r="D2577">
        <v>21</v>
      </c>
      <c r="E2577">
        <v>2</v>
      </c>
      <c r="F2577">
        <v>4</v>
      </c>
      <c r="G2577" t="s">
        <v>1044</v>
      </c>
      <c r="H2577">
        <f>_xlfn.XLOOKUP(D2577, productos!$A$2:$A$150, productos!$D$2:$D$150, "No Encontrado", 0)</f>
        <v>3.25</v>
      </c>
      <c r="I2577">
        <f t="shared" si="40"/>
        <v>6.5</v>
      </c>
    </row>
    <row r="2578" spans="1:9" x14ac:dyDescent="0.25">
      <c r="A2578">
        <v>2646</v>
      </c>
      <c r="B2578" s="1">
        <v>45601</v>
      </c>
      <c r="C2578">
        <v>228</v>
      </c>
      <c r="D2578">
        <v>10</v>
      </c>
      <c r="E2578">
        <v>4</v>
      </c>
      <c r="F2578">
        <v>5</v>
      </c>
      <c r="G2578" t="s">
        <v>1044</v>
      </c>
      <c r="H2578">
        <f>_xlfn.XLOOKUP(D2578, productos!$A$2:$A$150, productos!$D$2:$D$150, "No Encontrado", 0)</f>
        <v>14.25</v>
      </c>
      <c r="I2578">
        <f t="shared" si="40"/>
        <v>57</v>
      </c>
    </row>
    <row r="2579" spans="1:9" x14ac:dyDescent="0.25">
      <c r="A2579">
        <v>2859</v>
      </c>
      <c r="B2579" s="1">
        <v>45601</v>
      </c>
      <c r="C2579">
        <v>280</v>
      </c>
      <c r="D2579">
        <v>16</v>
      </c>
      <c r="E2579">
        <v>3</v>
      </c>
      <c r="F2579">
        <v>5</v>
      </c>
      <c r="G2579" t="s">
        <v>1044</v>
      </c>
      <c r="H2579">
        <f>_xlfn.XLOOKUP(D2579, productos!$A$2:$A$150, productos!$D$2:$D$150, "No Encontrado", 0)</f>
        <v>15.23</v>
      </c>
      <c r="I2579">
        <f t="shared" si="40"/>
        <v>45.69</v>
      </c>
    </row>
    <row r="2580" spans="1:9" x14ac:dyDescent="0.25">
      <c r="A2580">
        <v>2904</v>
      </c>
      <c r="B2580" s="1">
        <v>45601</v>
      </c>
      <c r="C2580">
        <v>165</v>
      </c>
      <c r="D2580">
        <v>34</v>
      </c>
      <c r="E2580">
        <v>6</v>
      </c>
      <c r="F2580">
        <v>4</v>
      </c>
      <c r="G2580" t="s">
        <v>1044</v>
      </c>
      <c r="H2580">
        <f>_xlfn.XLOOKUP(D2580, productos!$A$2:$A$150, productos!$D$2:$D$150, "No Encontrado", 0)</f>
        <v>5.45</v>
      </c>
      <c r="I2580">
        <f t="shared" si="40"/>
        <v>32.700000000000003</v>
      </c>
    </row>
    <row r="2581" spans="1:9" x14ac:dyDescent="0.25">
      <c r="A2581">
        <v>480</v>
      </c>
      <c r="B2581" s="1">
        <v>45602</v>
      </c>
      <c r="C2581">
        <v>161</v>
      </c>
      <c r="D2581">
        <v>12</v>
      </c>
      <c r="E2581">
        <v>2</v>
      </c>
      <c r="F2581">
        <v>2</v>
      </c>
      <c r="G2581" t="s">
        <v>1044</v>
      </c>
      <c r="H2581">
        <f>_xlfn.XLOOKUP(D2581, productos!$A$2:$A$150, productos!$D$2:$D$150, "No Encontrado", 0)</f>
        <v>8.1199999999999992</v>
      </c>
      <c r="I2581">
        <f t="shared" si="40"/>
        <v>16.239999999999998</v>
      </c>
    </row>
    <row r="2582" spans="1:9" x14ac:dyDescent="0.25">
      <c r="A2582">
        <v>980</v>
      </c>
      <c r="B2582" s="1">
        <v>45602</v>
      </c>
      <c r="C2582">
        <v>119</v>
      </c>
      <c r="D2582">
        <v>6</v>
      </c>
      <c r="E2582">
        <v>4</v>
      </c>
      <c r="F2582">
        <v>4</v>
      </c>
      <c r="G2582" t="s">
        <v>1044</v>
      </c>
      <c r="H2582">
        <f>_xlfn.XLOOKUP(D2582, productos!$A$2:$A$150, productos!$D$2:$D$150, "No Encontrado", 0)</f>
        <v>28.56</v>
      </c>
      <c r="I2582">
        <f t="shared" si="40"/>
        <v>114.24</v>
      </c>
    </row>
    <row r="2583" spans="1:9" x14ac:dyDescent="0.25">
      <c r="A2583">
        <v>1298</v>
      </c>
      <c r="B2583" s="1">
        <v>45602</v>
      </c>
      <c r="C2583">
        <v>216</v>
      </c>
      <c r="D2583">
        <v>18</v>
      </c>
      <c r="E2583">
        <v>1</v>
      </c>
      <c r="F2583">
        <v>5</v>
      </c>
      <c r="G2583" t="s">
        <v>1044</v>
      </c>
      <c r="H2583">
        <f>_xlfn.XLOOKUP(D2583, productos!$A$2:$A$150, productos!$D$2:$D$150, "No Encontrado", 0)</f>
        <v>7.25</v>
      </c>
      <c r="I2583">
        <f t="shared" si="40"/>
        <v>7.25</v>
      </c>
    </row>
    <row r="2584" spans="1:9" x14ac:dyDescent="0.25">
      <c r="A2584">
        <v>1342</v>
      </c>
      <c r="B2584" s="1">
        <v>45602</v>
      </c>
      <c r="C2584">
        <v>119</v>
      </c>
      <c r="D2584">
        <v>23</v>
      </c>
      <c r="E2584">
        <v>6</v>
      </c>
      <c r="F2584">
        <v>1</v>
      </c>
      <c r="G2584" t="s">
        <v>1044</v>
      </c>
      <c r="H2584">
        <f>_xlfn.XLOOKUP(D2584, productos!$A$2:$A$150, productos!$D$2:$D$150, "No Encontrado", 0)</f>
        <v>8.23</v>
      </c>
      <c r="I2584">
        <f t="shared" si="40"/>
        <v>49.38</v>
      </c>
    </row>
    <row r="2585" spans="1:9" x14ac:dyDescent="0.25">
      <c r="A2585">
        <v>1645</v>
      </c>
      <c r="B2585" s="1">
        <v>45602</v>
      </c>
      <c r="C2585">
        <v>13</v>
      </c>
      <c r="D2585">
        <v>12</v>
      </c>
      <c r="E2585">
        <v>2</v>
      </c>
      <c r="F2585">
        <v>5</v>
      </c>
      <c r="G2585" t="s">
        <v>1044</v>
      </c>
      <c r="H2585">
        <f>_xlfn.XLOOKUP(D2585, productos!$A$2:$A$150, productos!$D$2:$D$150, "No Encontrado", 0)</f>
        <v>8.1199999999999992</v>
      </c>
      <c r="I2585">
        <f t="shared" si="40"/>
        <v>16.239999999999998</v>
      </c>
    </row>
    <row r="2586" spans="1:9" x14ac:dyDescent="0.25">
      <c r="A2586">
        <v>1818</v>
      </c>
      <c r="B2586" s="1">
        <v>45602</v>
      </c>
      <c r="C2586">
        <v>279</v>
      </c>
      <c r="D2586">
        <v>22</v>
      </c>
      <c r="E2586">
        <v>3</v>
      </c>
      <c r="F2586">
        <v>4</v>
      </c>
      <c r="G2586" t="s">
        <v>1044</v>
      </c>
      <c r="H2586">
        <f>_xlfn.XLOOKUP(D2586, productos!$A$2:$A$150, productos!$D$2:$D$150, "No Encontrado", 0)</f>
        <v>4.21</v>
      </c>
      <c r="I2586">
        <f t="shared" si="40"/>
        <v>12.629999999999999</v>
      </c>
    </row>
    <row r="2587" spans="1:9" x14ac:dyDescent="0.25">
      <c r="A2587">
        <v>2500</v>
      </c>
      <c r="B2587" s="1">
        <v>45602</v>
      </c>
      <c r="C2587">
        <v>20</v>
      </c>
      <c r="D2587">
        <v>23</v>
      </c>
      <c r="E2587">
        <v>4</v>
      </c>
      <c r="F2587">
        <v>5</v>
      </c>
      <c r="G2587" t="s">
        <v>1044</v>
      </c>
      <c r="H2587">
        <f>_xlfn.XLOOKUP(D2587, productos!$A$2:$A$150, productos!$D$2:$D$150, "No Encontrado", 0)</f>
        <v>8.23</v>
      </c>
      <c r="I2587">
        <f t="shared" si="40"/>
        <v>32.92</v>
      </c>
    </row>
    <row r="2588" spans="1:9" x14ac:dyDescent="0.25">
      <c r="A2588">
        <v>2597</v>
      </c>
      <c r="B2588" s="1">
        <v>45602</v>
      </c>
      <c r="C2588">
        <v>80</v>
      </c>
      <c r="D2588">
        <v>22</v>
      </c>
      <c r="E2588">
        <v>6</v>
      </c>
      <c r="F2588">
        <v>4</v>
      </c>
      <c r="G2588" t="s">
        <v>1044</v>
      </c>
      <c r="H2588">
        <f>_xlfn.XLOOKUP(D2588, productos!$A$2:$A$150, productos!$D$2:$D$150, "No Encontrado", 0)</f>
        <v>4.21</v>
      </c>
      <c r="I2588">
        <f t="shared" si="40"/>
        <v>25.259999999999998</v>
      </c>
    </row>
    <row r="2589" spans="1:9" x14ac:dyDescent="0.25">
      <c r="A2589">
        <v>2631</v>
      </c>
      <c r="B2589" s="1">
        <v>45602</v>
      </c>
      <c r="C2589">
        <v>27</v>
      </c>
      <c r="D2589">
        <v>22</v>
      </c>
      <c r="E2589">
        <v>3</v>
      </c>
      <c r="F2589">
        <v>4</v>
      </c>
      <c r="G2589" t="s">
        <v>1044</v>
      </c>
      <c r="H2589">
        <f>_xlfn.XLOOKUP(D2589, productos!$A$2:$A$150, productos!$D$2:$D$150, "No Encontrado", 0)</f>
        <v>4.21</v>
      </c>
      <c r="I2589">
        <f t="shared" si="40"/>
        <v>12.629999999999999</v>
      </c>
    </row>
    <row r="2590" spans="1:9" x14ac:dyDescent="0.25">
      <c r="A2590">
        <v>2983</v>
      </c>
      <c r="B2590" s="1">
        <v>45602</v>
      </c>
      <c r="C2590">
        <v>234</v>
      </c>
      <c r="D2590">
        <v>20</v>
      </c>
      <c r="E2590">
        <v>3</v>
      </c>
      <c r="F2590">
        <v>3</v>
      </c>
      <c r="G2590" t="s">
        <v>1044</v>
      </c>
      <c r="H2590">
        <f>_xlfn.XLOOKUP(D2590, productos!$A$2:$A$150, productos!$D$2:$D$150, "No Encontrado", 0)</f>
        <v>4.25</v>
      </c>
      <c r="I2590">
        <f t="shared" si="40"/>
        <v>12.75</v>
      </c>
    </row>
    <row r="2591" spans="1:9" x14ac:dyDescent="0.25">
      <c r="A2591">
        <v>401</v>
      </c>
      <c r="B2591" s="1">
        <v>45603</v>
      </c>
      <c r="C2591">
        <v>27</v>
      </c>
      <c r="D2591">
        <v>27</v>
      </c>
      <c r="E2591">
        <v>6</v>
      </c>
      <c r="F2591">
        <v>4</v>
      </c>
      <c r="G2591" t="s">
        <v>1044</v>
      </c>
      <c r="H2591">
        <f>_xlfn.XLOOKUP(D2591, productos!$A$2:$A$150, productos!$D$2:$D$150, "No Encontrado", 0)</f>
        <v>6.21</v>
      </c>
      <c r="I2591">
        <f t="shared" si="40"/>
        <v>37.26</v>
      </c>
    </row>
    <row r="2592" spans="1:9" x14ac:dyDescent="0.25">
      <c r="A2592">
        <v>509</v>
      </c>
      <c r="B2592" s="1">
        <v>45603</v>
      </c>
      <c r="C2592">
        <v>136</v>
      </c>
      <c r="D2592">
        <v>38</v>
      </c>
      <c r="E2592">
        <v>3</v>
      </c>
      <c r="F2592">
        <v>5</v>
      </c>
      <c r="G2592" t="s">
        <v>1044</v>
      </c>
      <c r="H2592">
        <f>_xlfn.XLOOKUP(D2592, productos!$A$2:$A$150, productos!$D$2:$D$150, "No Encontrado", 0)</f>
        <v>6.21</v>
      </c>
      <c r="I2592">
        <f t="shared" si="40"/>
        <v>18.63</v>
      </c>
    </row>
    <row r="2593" spans="1:9" x14ac:dyDescent="0.25">
      <c r="A2593">
        <v>667</v>
      </c>
      <c r="B2593" s="1">
        <v>45603</v>
      </c>
      <c r="C2593">
        <v>189</v>
      </c>
      <c r="D2593">
        <v>16</v>
      </c>
      <c r="E2593">
        <v>5</v>
      </c>
      <c r="F2593">
        <v>3</v>
      </c>
      <c r="G2593" t="s">
        <v>1044</v>
      </c>
      <c r="H2593">
        <f>_xlfn.XLOOKUP(D2593, productos!$A$2:$A$150, productos!$D$2:$D$150, "No Encontrado", 0)</f>
        <v>15.23</v>
      </c>
      <c r="I2593">
        <f t="shared" si="40"/>
        <v>76.150000000000006</v>
      </c>
    </row>
    <row r="2594" spans="1:9" x14ac:dyDescent="0.25">
      <c r="A2594">
        <v>1215</v>
      </c>
      <c r="B2594" s="1">
        <v>45603</v>
      </c>
      <c r="C2594">
        <v>297</v>
      </c>
      <c r="D2594">
        <v>17</v>
      </c>
      <c r="E2594">
        <v>6</v>
      </c>
      <c r="F2594">
        <v>3</v>
      </c>
      <c r="G2594" t="s">
        <v>1045</v>
      </c>
      <c r="H2594">
        <f>_xlfn.XLOOKUP(D2594, productos!$A$2:$A$150, productos!$D$2:$D$150, "No Encontrado", 0)</f>
        <v>6.54</v>
      </c>
      <c r="I2594">
        <f t="shared" si="40"/>
        <v>39.24</v>
      </c>
    </row>
    <row r="2595" spans="1:9" x14ac:dyDescent="0.25">
      <c r="A2595">
        <v>1418</v>
      </c>
      <c r="B2595" s="1">
        <v>45603</v>
      </c>
      <c r="C2595">
        <v>111</v>
      </c>
      <c r="D2595">
        <v>37</v>
      </c>
      <c r="E2595">
        <v>1</v>
      </c>
      <c r="F2595">
        <v>5</v>
      </c>
      <c r="G2595" t="s">
        <v>1045</v>
      </c>
      <c r="H2595">
        <f>_xlfn.XLOOKUP(D2595, productos!$A$2:$A$150, productos!$D$2:$D$150, "No Encontrado", 0)</f>
        <v>3.65</v>
      </c>
      <c r="I2595">
        <f t="shared" si="40"/>
        <v>3.65</v>
      </c>
    </row>
    <row r="2596" spans="1:9" x14ac:dyDescent="0.25">
      <c r="A2596">
        <v>1965</v>
      </c>
      <c r="B2596" s="1">
        <v>45603</v>
      </c>
      <c r="C2596">
        <v>185</v>
      </c>
      <c r="D2596">
        <v>36</v>
      </c>
      <c r="E2596">
        <v>5</v>
      </c>
      <c r="F2596">
        <v>4</v>
      </c>
      <c r="G2596" t="s">
        <v>1044</v>
      </c>
      <c r="H2596">
        <f>_xlfn.XLOOKUP(D2596, productos!$A$2:$A$150, productos!$D$2:$D$150, "No Encontrado", 0)</f>
        <v>3.25</v>
      </c>
      <c r="I2596">
        <f t="shared" si="40"/>
        <v>16.25</v>
      </c>
    </row>
    <row r="2597" spans="1:9" x14ac:dyDescent="0.25">
      <c r="A2597">
        <v>2031</v>
      </c>
      <c r="B2597" s="1">
        <v>45603</v>
      </c>
      <c r="C2597">
        <v>190</v>
      </c>
      <c r="D2597">
        <v>33</v>
      </c>
      <c r="E2597">
        <v>3</v>
      </c>
      <c r="F2597">
        <v>5</v>
      </c>
      <c r="G2597" t="s">
        <v>1044</v>
      </c>
      <c r="H2597">
        <f>_xlfn.XLOOKUP(D2597, productos!$A$2:$A$150, productos!$D$2:$D$150, "No Encontrado", 0)</f>
        <v>8.5399999999999991</v>
      </c>
      <c r="I2597">
        <f t="shared" si="40"/>
        <v>25.619999999999997</v>
      </c>
    </row>
    <row r="2598" spans="1:9" x14ac:dyDescent="0.25">
      <c r="A2598">
        <v>366</v>
      </c>
      <c r="B2598" s="1">
        <v>45604</v>
      </c>
      <c r="C2598">
        <v>111</v>
      </c>
      <c r="D2598">
        <v>37</v>
      </c>
      <c r="E2598">
        <v>4</v>
      </c>
      <c r="F2598">
        <v>4</v>
      </c>
      <c r="G2598" t="s">
        <v>1044</v>
      </c>
      <c r="H2598">
        <f>_xlfn.XLOOKUP(D2598, productos!$A$2:$A$150, productos!$D$2:$D$150, "No Encontrado", 0)</f>
        <v>3.65</v>
      </c>
      <c r="I2598">
        <f t="shared" si="40"/>
        <v>14.6</v>
      </c>
    </row>
    <row r="2599" spans="1:9" x14ac:dyDescent="0.25">
      <c r="A2599">
        <v>467</v>
      </c>
      <c r="B2599" s="1">
        <v>45604</v>
      </c>
      <c r="C2599">
        <v>271</v>
      </c>
      <c r="D2599">
        <v>34</v>
      </c>
      <c r="E2599">
        <v>6</v>
      </c>
      <c r="F2599">
        <v>4</v>
      </c>
      <c r="G2599" t="s">
        <v>1044</v>
      </c>
      <c r="H2599">
        <f>_xlfn.XLOOKUP(D2599, productos!$A$2:$A$150, productos!$D$2:$D$150, "No Encontrado", 0)</f>
        <v>5.45</v>
      </c>
      <c r="I2599">
        <f t="shared" si="40"/>
        <v>32.700000000000003</v>
      </c>
    </row>
    <row r="2600" spans="1:9" x14ac:dyDescent="0.25">
      <c r="A2600">
        <v>698</v>
      </c>
      <c r="B2600" s="1">
        <v>45604</v>
      </c>
      <c r="C2600">
        <v>225</v>
      </c>
      <c r="D2600">
        <v>20</v>
      </c>
      <c r="E2600">
        <v>6</v>
      </c>
      <c r="F2600">
        <v>1</v>
      </c>
      <c r="G2600" t="s">
        <v>1045</v>
      </c>
      <c r="H2600">
        <f>_xlfn.XLOOKUP(D2600, productos!$A$2:$A$150, productos!$D$2:$D$150, "No Encontrado", 0)</f>
        <v>4.25</v>
      </c>
      <c r="I2600">
        <f t="shared" si="40"/>
        <v>25.5</v>
      </c>
    </row>
    <row r="2601" spans="1:9" x14ac:dyDescent="0.25">
      <c r="A2601">
        <v>1721</v>
      </c>
      <c r="B2601" s="1">
        <v>45604</v>
      </c>
      <c r="C2601">
        <v>46</v>
      </c>
      <c r="D2601">
        <v>30</v>
      </c>
      <c r="E2601">
        <v>4</v>
      </c>
      <c r="F2601">
        <v>1</v>
      </c>
      <c r="G2601" t="s">
        <v>1044</v>
      </c>
      <c r="H2601">
        <f>_xlfn.XLOOKUP(D2601, productos!$A$2:$A$150, productos!$D$2:$D$150, "No Encontrado", 0)</f>
        <v>13.54</v>
      </c>
      <c r="I2601">
        <f t="shared" si="40"/>
        <v>54.16</v>
      </c>
    </row>
    <row r="2602" spans="1:9" x14ac:dyDescent="0.25">
      <c r="A2602">
        <v>2124</v>
      </c>
      <c r="B2602" s="1">
        <v>45604</v>
      </c>
      <c r="C2602">
        <v>70</v>
      </c>
      <c r="D2602">
        <v>10</v>
      </c>
      <c r="E2602">
        <v>3</v>
      </c>
      <c r="F2602">
        <v>4</v>
      </c>
      <c r="G2602" t="s">
        <v>1044</v>
      </c>
      <c r="H2602">
        <f>_xlfn.XLOOKUP(D2602, productos!$A$2:$A$150, productos!$D$2:$D$150, "No Encontrado", 0)</f>
        <v>14.25</v>
      </c>
      <c r="I2602">
        <f t="shared" si="40"/>
        <v>42.75</v>
      </c>
    </row>
    <row r="2603" spans="1:9" x14ac:dyDescent="0.25">
      <c r="A2603">
        <v>2228</v>
      </c>
      <c r="B2603" s="1">
        <v>45604</v>
      </c>
      <c r="C2603">
        <v>155</v>
      </c>
      <c r="D2603">
        <v>29</v>
      </c>
      <c r="E2603">
        <v>4</v>
      </c>
      <c r="F2603">
        <v>4</v>
      </c>
      <c r="G2603" t="s">
        <v>1044</v>
      </c>
      <c r="H2603">
        <f>_xlfn.XLOOKUP(D2603, productos!$A$2:$A$150, productos!$D$2:$D$150, "No Encontrado", 0)</f>
        <v>11.54</v>
      </c>
      <c r="I2603">
        <f t="shared" si="40"/>
        <v>46.16</v>
      </c>
    </row>
    <row r="2604" spans="1:9" x14ac:dyDescent="0.25">
      <c r="A2604">
        <v>2960</v>
      </c>
      <c r="B2604" s="1">
        <v>45604</v>
      </c>
      <c r="C2604">
        <v>240</v>
      </c>
      <c r="D2604">
        <v>38</v>
      </c>
      <c r="E2604">
        <v>5</v>
      </c>
      <c r="F2604">
        <v>4</v>
      </c>
      <c r="G2604" t="s">
        <v>1044</v>
      </c>
      <c r="H2604">
        <f>_xlfn.XLOOKUP(D2604, productos!$A$2:$A$150, productos!$D$2:$D$150, "No Encontrado", 0)</f>
        <v>6.21</v>
      </c>
      <c r="I2604">
        <f t="shared" si="40"/>
        <v>31.05</v>
      </c>
    </row>
    <row r="2605" spans="1:9" x14ac:dyDescent="0.25">
      <c r="A2605">
        <v>446</v>
      </c>
      <c r="B2605" s="1">
        <v>45605</v>
      </c>
      <c r="C2605">
        <v>234</v>
      </c>
      <c r="D2605">
        <v>25</v>
      </c>
      <c r="E2605">
        <v>3</v>
      </c>
      <c r="F2605">
        <v>1</v>
      </c>
      <c r="G2605" t="s">
        <v>1044</v>
      </c>
      <c r="H2605">
        <f>_xlfn.XLOOKUP(D2605, productos!$A$2:$A$150, productos!$D$2:$D$150, "No Encontrado", 0)</f>
        <v>15.45</v>
      </c>
      <c r="I2605">
        <f t="shared" si="40"/>
        <v>46.349999999999994</v>
      </c>
    </row>
    <row r="2606" spans="1:9" x14ac:dyDescent="0.25">
      <c r="A2606">
        <v>638</v>
      </c>
      <c r="B2606" s="1">
        <v>45605</v>
      </c>
      <c r="C2606">
        <v>236</v>
      </c>
      <c r="D2606">
        <v>26</v>
      </c>
      <c r="E2606">
        <v>6</v>
      </c>
      <c r="F2606">
        <v>4</v>
      </c>
      <c r="G2606" t="s">
        <v>1044</v>
      </c>
      <c r="H2606">
        <f>_xlfn.XLOOKUP(D2606, productos!$A$2:$A$150, productos!$D$2:$D$150, "No Encontrado", 0)</f>
        <v>9.5399999999999991</v>
      </c>
      <c r="I2606">
        <f t="shared" si="40"/>
        <v>57.239999999999995</v>
      </c>
    </row>
    <row r="2607" spans="1:9" x14ac:dyDescent="0.25">
      <c r="A2607">
        <v>835</v>
      </c>
      <c r="B2607" s="1">
        <v>45605</v>
      </c>
      <c r="C2607">
        <v>224</v>
      </c>
      <c r="D2607">
        <v>1</v>
      </c>
      <c r="E2607">
        <v>3</v>
      </c>
      <c r="F2607">
        <v>5</v>
      </c>
      <c r="G2607" t="s">
        <v>1044</v>
      </c>
      <c r="H2607">
        <f>_xlfn.XLOOKUP(D2607, productos!$A$2:$A$150, productos!$D$2:$D$150, "No Encontrado", 0)</f>
        <v>12.24</v>
      </c>
      <c r="I2607">
        <f t="shared" si="40"/>
        <v>36.72</v>
      </c>
    </row>
    <row r="2608" spans="1:9" x14ac:dyDescent="0.25">
      <c r="A2608">
        <v>913</v>
      </c>
      <c r="B2608" s="1">
        <v>45605</v>
      </c>
      <c r="C2608">
        <v>36</v>
      </c>
      <c r="D2608">
        <v>27</v>
      </c>
      <c r="E2608">
        <v>5</v>
      </c>
      <c r="F2608">
        <v>5</v>
      </c>
      <c r="G2608" t="s">
        <v>1044</v>
      </c>
      <c r="H2608">
        <f>_xlfn.XLOOKUP(D2608, productos!$A$2:$A$150, productos!$D$2:$D$150, "No Encontrado", 0)</f>
        <v>6.21</v>
      </c>
      <c r="I2608">
        <f t="shared" si="40"/>
        <v>31.05</v>
      </c>
    </row>
    <row r="2609" spans="1:9" x14ac:dyDescent="0.25">
      <c r="A2609">
        <v>1219</v>
      </c>
      <c r="B2609" s="1">
        <v>45605</v>
      </c>
      <c r="C2609">
        <v>125</v>
      </c>
      <c r="D2609">
        <v>37</v>
      </c>
      <c r="E2609">
        <v>4</v>
      </c>
      <c r="F2609">
        <v>3</v>
      </c>
      <c r="G2609" t="s">
        <v>1044</v>
      </c>
      <c r="H2609">
        <f>_xlfn.XLOOKUP(D2609, productos!$A$2:$A$150, productos!$D$2:$D$150, "No Encontrado", 0)</f>
        <v>3.65</v>
      </c>
      <c r="I2609">
        <f t="shared" si="40"/>
        <v>14.6</v>
      </c>
    </row>
    <row r="2610" spans="1:9" x14ac:dyDescent="0.25">
      <c r="A2610">
        <v>2148</v>
      </c>
      <c r="B2610" s="1">
        <v>45605</v>
      </c>
      <c r="C2610">
        <v>43</v>
      </c>
      <c r="D2610">
        <v>16</v>
      </c>
      <c r="E2610">
        <v>2</v>
      </c>
      <c r="F2610">
        <v>1</v>
      </c>
      <c r="G2610" t="s">
        <v>1044</v>
      </c>
      <c r="H2610">
        <f>_xlfn.XLOOKUP(D2610, productos!$A$2:$A$150, productos!$D$2:$D$150, "No Encontrado", 0)</f>
        <v>15.23</v>
      </c>
      <c r="I2610">
        <f t="shared" si="40"/>
        <v>30.46</v>
      </c>
    </row>
    <row r="2611" spans="1:9" x14ac:dyDescent="0.25">
      <c r="A2611">
        <v>2296</v>
      </c>
      <c r="B2611" s="1">
        <v>45605</v>
      </c>
      <c r="C2611">
        <v>254</v>
      </c>
      <c r="D2611">
        <v>13</v>
      </c>
      <c r="E2611">
        <v>3</v>
      </c>
      <c r="F2611">
        <v>5</v>
      </c>
      <c r="G2611" t="s">
        <v>1044</v>
      </c>
      <c r="H2611">
        <f>_xlfn.XLOOKUP(D2611, productos!$A$2:$A$150, productos!$D$2:$D$150, "No Encontrado", 0)</f>
        <v>12.56</v>
      </c>
      <c r="I2611">
        <f t="shared" si="40"/>
        <v>37.68</v>
      </c>
    </row>
    <row r="2612" spans="1:9" x14ac:dyDescent="0.25">
      <c r="A2612">
        <v>2367</v>
      </c>
      <c r="B2612" s="1">
        <v>45605</v>
      </c>
      <c r="C2612">
        <v>83</v>
      </c>
      <c r="D2612">
        <v>20</v>
      </c>
      <c r="E2612">
        <v>4</v>
      </c>
      <c r="F2612">
        <v>1</v>
      </c>
      <c r="G2612" t="s">
        <v>1044</v>
      </c>
      <c r="H2612">
        <f>_xlfn.XLOOKUP(D2612, productos!$A$2:$A$150, productos!$D$2:$D$150, "No Encontrado", 0)</f>
        <v>4.25</v>
      </c>
      <c r="I2612">
        <f t="shared" si="40"/>
        <v>17</v>
      </c>
    </row>
    <row r="2613" spans="1:9" x14ac:dyDescent="0.25">
      <c r="A2613">
        <v>2696</v>
      </c>
      <c r="B2613" s="1">
        <v>45605</v>
      </c>
      <c r="C2613">
        <v>86</v>
      </c>
      <c r="D2613">
        <v>5</v>
      </c>
      <c r="E2613">
        <v>2</v>
      </c>
      <c r="F2613">
        <v>5</v>
      </c>
      <c r="G2613" t="s">
        <v>1044</v>
      </c>
      <c r="H2613">
        <f>_xlfn.XLOOKUP(D2613, productos!$A$2:$A$150, productos!$D$2:$D$150, "No Encontrado", 0)</f>
        <v>5.65</v>
      </c>
      <c r="I2613">
        <f t="shared" si="40"/>
        <v>11.3</v>
      </c>
    </row>
    <row r="2614" spans="1:9" x14ac:dyDescent="0.25">
      <c r="A2614">
        <v>658</v>
      </c>
      <c r="B2614" s="1">
        <v>45606</v>
      </c>
      <c r="C2614">
        <v>29</v>
      </c>
      <c r="D2614">
        <v>24</v>
      </c>
      <c r="E2614">
        <v>5</v>
      </c>
      <c r="F2614">
        <v>5</v>
      </c>
      <c r="G2614" t="s">
        <v>1044</v>
      </c>
      <c r="H2614">
        <f>_xlfn.XLOOKUP(D2614, productos!$A$2:$A$150, productos!$D$2:$D$150, "No Encontrado", 0)</f>
        <v>13.54</v>
      </c>
      <c r="I2614">
        <f t="shared" si="40"/>
        <v>67.699999999999989</v>
      </c>
    </row>
    <row r="2615" spans="1:9" x14ac:dyDescent="0.25">
      <c r="A2615">
        <v>709</v>
      </c>
      <c r="B2615" s="1">
        <v>45606</v>
      </c>
      <c r="C2615">
        <v>20</v>
      </c>
      <c r="D2615">
        <v>13</v>
      </c>
      <c r="E2615">
        <v>2</v>
      </c>
      <c r="F2615">
        <v>3</v>
      </c>
      <c r="G2615" t="s">
        <v>1044</v>
      </c>
      <c r="H2615">
        <f>_xlfn.XLOOKUP(D2615, productos!$A$2:$A$150, productos!$D$2:$D$150, "No Encontrado", 0)</f>
        <v>12.56</v>
      </c>
      <c r="I2615">
        <f t="shared" si="40"/>
        <v>25.12</v>
      </c>
    </row>
    <row r="2616" spans="1:9" x14ac:dyDescent="0.25">
      <c r="A2616">
        <v>1032</v>
      </c>
      <c r="B2616" s="1">
        <v>45606</v>
      </c>
      <c r="C2616">
        <v>20</v>
      </c>
      <c r="D2616">
        <v>8</v>
      </c>
      <c r="E2616">
        <v>2</v>
      </c>
      <c r="F2616">
        <v>5</v>
      </c>
      <c r="G2616" t="s">
        <v>1044</v>
      </c>
      <c r="H2616">
        <f>_xlfn.XLOOKUP(D2616, productos!$A$2:$A$150, productos!$D$2:$D$150, "No Encontrado", 0)</f>
        <v>16.21</v>
      </c>
      <c r="I2616">
        <f t="shared" si="40"/>
        <v>32.42</v>
      </c>
    </row>
    <row r="2617" spans="1:9" x14ac:dyDescent="0.25">
      <c r="A2617">
        <v>1158</v>
      </c>
      <c r="B2617" s="1">
        <v>45606</v>
      </c>
      <c r="C2617">
        <v>88</v>
      </c>
      <c r="D2617">
        <v>17</v>
      </c>
      <c r="E2617">
        <v>5</v>
      </c>
      <c r="F2617">
        <v>3</v>
      </c>
      <c r="G2617" t="s">
        <v>1044</v>
      </c>
      <c r="H2617">
        <f>_xlfn.XLOOKUP(D2617, productos!$A$2:$A$150, productos!$D$2:$D$150, "No Encontrado", 0)</f>
        <v>6.54</v>
      </c>
      <c r="I2617">
        <f t="shared" si="40"/>
        <v>32.700000000000003</v>
      </c>
    </row>
    <row r="2618" spans="1:9" x14ac:dyDescent="0.25">
      <c r="A2618">
        <v>1231</v>
      </c>
      <c r="B2618" s="1">
        <v>45606</v>
      </c>
      <c r="C2618">
        <v>242</v>
      </c>
      <c r="D2618">
        <v>16</v>
      </c>
      <c r="E2618">
        <v>3</v>
      </c>
      <c r="F2618">
        <v>4</v>
      </c>
      <c r="G2618" t="s">
        <v>1046</v>
      </c>
      <c r="H2618">
        <f>_xlfn.XLOOKUP(D2618, productos!$A$2:$A$150, productos!$D$2:$D$150, "No Encontrado", 0)</f>
        <v>15.23</v>
      </c>
      <c r="I2618">
        <f t="shared" si="40"/>
        <v>45.69</v>
      </c>
    </row>
    <row r="2619" spans="1:9" x14ac:dyDescent="0.25">
      <c r="A2619">
        <v>1982</v>
      </c>
      <c r="B2619" s="1">
        <v>45606</v>
      </c>
      <c r="C2619">
        <v>283</v>
      </c>
      <c r="D2619">
        <v>26</v>
      </c>
      <c r="E2619">
        <v>1</v>
      </c>
      <c r="F2619">
        <v>3</v>
      </c>
      <c r="G2619" t="s">
        <v>1044</v>
      </c>
      <c r="H2619">
        <f>_xlfn.XLOOKUP(D2619, productos!$A$2:$A$150, productos!$D$2:$D$150, "No Encontrado", 0)</f>
        <v>9.5399999999999991</v>
      </c>
      <c r="I2619">
        <f t="shared" si="40"/>
        <v>9.5399999999999991</v>
      </c>
    </row>
    <row r="2620" spans="1:9" x14ac:dyDescent="0.25">
      <c r="A2620">
        <v>2101</v>
      </c>
      <c r="B2620" s="1">
        <v>45606</v>
      </c>
      <c r="C2620">
        <v>260</v>
      </c>
      <c r="D2620">
        <v>6</v>
      </c>
      <c r="E2620">
        <v>3</v>
      </c>
      <c r="F2620">
        <v>1</v>
      </c>
      <c r="G2620" t="s">
        <v>1045</v>
      </c>
      <c r="H2620">
        <f>_xlfn.XLOOKUP(D2620, productos!$A$2:$A$150, productos!$D$2:$D$150, "No Encontrado", 0)</f>
        <v>28.56</v>
      </c>
      <c r="I2620">
        <f t="shared" si="40"/>
        <v>85.679999999999993</v>
      </c>
    </row>
    <row r="2621" spans="1:9" x14ac:dyDescent="0.25">
      <c r="A2621">
        <v>2195</v>
      </c>
      <c r="B2621" s="1">
        <v>45606</v>
      </c>
      <c r="C2621">
        <v>197</v>
      </c>
      <c r="D2621">
        <v>35</v>
      </c>
      <c r="E2621">
        <v>3</v>
      </c>
      <c r="F2621">
        <v>1</v>
      </c>
      <c r="G2621" t="s">
        <v>1045</v>
      </c>
      <c r="H2621">
        <f>_xlfn.XLOOKUP(D2621, productos!$A$2:$A$150, productos!$D$2:$D$150, "No Encontrado", 0)</f>
        <v>4.25</v>
      </c>
      <c r="I2621">
        <f t="shared" si="40"/>
        <v>12.75</v>
      </c>
    </row>
    <row r="2622" spans="1:9" x14ac:dyDescent="0.25">
      <c r="A2622">
        <v>2468</v>
      </c>
      <c r="B2622" s="1">
        <v>45606</v>
      </c>
      <c r="C2622">
        <v>307</v>
      </c>
      <c r="D2622">
        <v>32</v>
      </c>
      <c r="E2622">
        <v>2</v>
      </c>
      <c r="F2622">
        <v>3</v>
      </c>
      <c r="G2622" t="s">
        <v>1044</v>
      </c>
      <c r="H2622">
        <f>_xlfn.XLOOKUP(D2622, productos!$A$2:$A$150, productos!$D$2:$D$150, "No Encontrado", 0)</f>
        <v>6.25</v>
      </c>
      <c r="I2622">
        <f t="shared" si="40"/>
        <v>12.5</v>
      </c>
    </row>
    <row r="2623" spans="1:9" x14ac:dyDescent="0.25">
      <c r="A2623">
        <v>2621</v>
      </c>
      <c r="B2623" s="1">
        <v>45606</v>
      </c>
      <c r="C2623">
        <v>112</v>
      </c>
      <c r="D2623">
        <v>23</v>
      </c>
      <c r="E2623">
        <v>2</v>
      </c>
      <c r="F2623">
        <v>5</v>
      </c>
      <c r="G2623" t="s">
        <v>1045</v>
      </c>
      <c r="H2623">
        <f>_xlfn.XLOOKUP(D2623, productos!$A$2:$A$150, productos!$D$2:$D$150, "No Encontrado", 0)</f>
        <v>8.23</v>
      </c>
      <c r="I2623">
        <f t="shared" si="40"/>
        <v>16.46</v>
      </c>
    </row>
    <row r="2624" spans="1:9" x14ac:dyDescent="0.25">
      <c r="A2624">
        <v>2759</v>
      </c>
      <c r="B2624" s="1">
        <v>45606</v>
      </c>
      <c r="C2624">
        <v>170</v>
      </c>
      <c r="D2624">
        <v>15</v>
      </c>
      <c r="E2624">
        <v>3</v>
      </c>
      <c r="F2624">
        <v>1</v>
      </c>
      <c r="G2624" t="s">
        <v>1044</v>
      </c>
      <c r="H2624">
        <f>_xlfn.XLOOKUP(D2624, productos!$A$2:$A$150, productos!$D$2:$D$150, "No Encontrado", 0)</f>
        <v>3.51</v>
      </c>
      <c r="I2624">
        <f t="shared" si="40"/>
        <v>10.53</v>
      </c>
    </row>
    <row r="2625" spans="1:9" x14ac:dyDescent="0.25">
      <c r="A2625">
        <v>477</v>
      </c>
      <c r="B2625" s="1">
        <v>45607</v>
      </c>
      <c r="C2625">
        <v>102</v>
      </c>
      <c r="D2625">
        <v>6</v>
      </c>
      <c r="E2625">
        <v>6</v>
      </c>
      <c r="F2625">
        <v>4</v>
      </c>
      <c r="G2625" t="s">
        <v>1044</v>
      </c>
      <c r="H2625">
        <f>_xlfn.XLOOKUP(D2625, productos!$A$2:$A$150, productos!$D$2:$D$150, "No Encontrado", 0)</f>
        <v>28.56</v>
      </c>
      <c r="I2625">
        <f t="shared" si="40"/>
        <v>171.35999999999999</v>
      </c>
    </row>
    <row r="2626" spans="1:9" x14ac:dyDescent="0.25">
      <c r="A2626">
        <v>891</v>
      </c>
      <c r="B2626" s="1">
        <v>45607</v>
      </c>
      <c r="C2626">
        <v>79</v>
      </c>
      <c r="D2626">
        <v>32</v>
      </c>
      <c r="E2626">
        <v>3</v>
      </c>
      <c r="F2626">
        <v>4</v>
      </c>
      <c r="G2626" t="s">
        <v>1044</v>
      </c>
      <c r="H2626">
        <f>_xlfn.XLOOKUP(D2626, productos!$A$2:$A$150, productos!$D$2:$D$150, "No Encontrado", 0)</f>
        <v>6.25</v>
      </c>
      <c r="I2626">
        <f t="shared" si="40"/>
        <v>18.75</v>
      </c>
    </row>
    <row r="2627" spans="1:9" x14ac:dyDescent="0.25">
      <c r="A2627">
        <v>940</v>
      </c>
      <c r="B2627" s="1">
        <v>45607</v>
      </c>
      <c r="C2627">
        <v>220</v>
      </c>
      <c r="D2627">
        <v>29</v>
      </c>
      <c r="E2627">
        <v>4</v>
      </c>
      <c r="F2627">
        <v>2</v>
      </c>
      <c r="G2627" t="s">
        <v>1044</v>
      </c>
      <c r="H2627">
        <f>_xlfn.XLOOKUP(D2627, productos!$A$2:$A$150, productos!$D$2:$D$150, "No Encontrado", 0)</f>
        <v>11.54</v>
      </c>
      <c r="I2627">
        <f t="shared" ref="I2627:I2690" si="41">E2627*H2627</f>
        <v>46.16</v>
      </c>
    </row>
    <row r="2628" spans="1:9" x14ac:dyDescent="0.25">
      <c r="A2628">
        <v>1480</v>
      </c>
      <c r="B2628" s="1">
        <v>45607</v>
      </c>
      <c r="C2628">
        <v>113</v>
      </c>
      <c r="D2628">
        <v>17</v>
      </c>
      <c r="E2628">
        <v>3</v>
      </c>
      <c r="F2628">
        <v>1</v>
      </c>
      <c r="G2628" t="s">
        <v>1044</v>
      </c>
      <c r="H2628">
        <f>_xlfn.XLOOKUP(D2628, productos!$A$2:$A$150, productos!$D$2:$D$150, "No Encontrado", 0)</f>
        <v>6.54</v>
      </c>
      <c r="I2628">
        <f t="shared" si="41"/>
        <v>19.62</v>
      </c>
    </row>
    <row r="2629" spans="1:9" x14ac:dyDescent="0.25">
      <c r="A2629">
        <v>2292</v>
      </c>
      <c r="B2629" s="1">
        <v>45607</v>
      </c>
      <c r="C2629">
        <v>225</v>
      </c>
      <c r="D2629">
        <v>8</v>
      </c>
      <c r="E2629">
        <v>5</v>
      </c>
      <c r="F2629">
        <v>5</v>
      </c>
      <c r="G2629" t="s">
        <v>1044</v>
      </c>
      <c r="H2629">
        <f>_xlfn.XLOOKUP(D2629, productos!$A$2:$A$150, productos!$D$2:$D$150, "No Encontrado", 0)</f>
        <v>16.21</v>
      </c>
      <c r="I2629">
        <f t="shared" si="41"/>
        <v>81.050000000000011</v>
      </c>
    </row>
    <row r="2630" spans="1:9" x14ac:dyDescent="0.25">
      <c r="A2630">
        <v>781</v>
      </c>
      <c r="B2630" s="1">
        <v>45608</v>
      </c>
      <c r="C2630">
        <v>68</v>
      </c>
      <c r="D2630">
        <v>12</v>
      </c>
      <c r="E2630">
        <v>5</v>
      </c>
      <c r="F2630">
        <v>4</v>
      </c>
      <c r="G2630" t="s">
        <v>1044</v>
      </c>
      <c r="H2630">
        <f>_xlfn.XLOOKUP(D2630, productos!$A$2:$A$150, productos!$D$2:$D$150, "No Encontrado", 0)</f>
        <v>8.1199999999999992</v>
      </c>
      <c r="I2630">
        <f t="shared" si="41"/>
        <v>40.599999999999994</v>
      </c>
    </row>
    <row r="2631" spans="1:9" x14ac:dyDescent="0.25">
      <c r="A2631">
        <v>1654</v>
      </c>
      <c r="B2631" s="1">
        <v>45608</v>
      </c>
      <c r="C2631">
        <v>183</v>
      </c>
      <c r="D2631">
        <v>10</v>
      </c>
      <c r="E2631">
        <v>1</v>
      </c>
      <c r="F2631">
        <v>3</v>
      </c>
      <c r="G2631" t="s">
        <v>1046</v>
      </c>
      <c r="H2631">
        <f>_xlfn.XLOOKUP(D2631, productos!$A$2:$A$150, productos!$D$2:$D$150, "No Encontrado", 0)</f>
        <v>14.25</v>
      </c>
      <c r="I2631">
        <f t="shared" si="41"/>
        <v>14.25</v>
      </c>
    </row>
    <row r="2632" spans="1:9" x14ac:dyDescent="0.25">
      <c r="A2632">
        <v>1662</v>
      </c>
      <c r="B2632" s="1">
        <v>45608</v>
      </c>
      <c r="C2632">
        <v>133</v>
      </c>
      <c r="D2632">
        <v>26</v>
      </c>
      <c r="E2632">
        <v>5</v>
      </c>
      <c r="F2632">
        <v>4</v>
      </c>
      <c r="G2632" t="s">
        <v>1045</v>
      </c>
      <c r="H2632">
        <f>_xlfn.XLOOKUP(D2632, productos!$A$2:$A$150, productos!$D$2:$D$150, "No Encontrado", 0)</f>
        <v>9.5399999999999991</v>
      </c>
      <c r="I2632">
        <f t="shared" si="41"/>
        <v>47.699999999999996</v>
      </c>
    </row>
    <row r="2633" spans="1:9" x14ac:dyDescent="0.25">
      <c r="A2633">
        <v>1910</v>
      </c>
      <c r="B2633" s="1">
        <v>45608</v>
      </c>
      <c r="C2633">
        <v>292</v>
      </c>
      <c r="D2633">
        <v>38</v>
      </c>
      <c r="E2633">
        <v>4</v>
      </c>
      <c r="F2633">
        <v>5</v>
      </c>
      <c r="G2633" t="s">
        <v>1044</v>
      </c>
      <c r="H2633">
        <f>_xlfn.XLOOKUP(D2633, productos!$A$2:$A$150, productos!$D$2:$D$150, "No Encontrado", 0)</f>
        <v>6.21</v>
      </c>
      <c r="I2633">
        <f t="shared" si="41"/>
        <v>24.84</v>
      </c>
    </row>
    <row r="2634" spans="1:9" x14ac:dyDescent="0.25">
      <c r="A2634">
        <v>1927</v>
      </c>
      <c r="B2634" s="1">
        <v>45608</v>
      </c>
      <c r="C2634">
        <v>59</v>
      </c>
      <c r="D2634">
        <v>18</v>
      </c>
      <c r="E2634">
        <v>1</v>
      </c>
      <c r="F2634">
        <v>5</v>
      </c>
      <c r="G2634" t="s">
        <v>1045</v>
      </c>
      <c r="H2634">
        <f>_xlfn.XLOOKUP(D2634, productos!$A$2:$A$150, productos!$D$2:$D$150, "No Encontrado", 0)</f>
        <v>7.25</v>
      </c>
      <c r="I2634">
        <f t="shared" si="41"/>
        <v>7.25</v>
      </c>
    </row>
    <row r="2635" spans="1:9" x14ac:dyDescent="0.25">
      <c r="A2635">
        <v>2097</v>
      </c>
      <c r="B2635" s="1">
        <v>45608</v>
      </c>
      <c r="C2635">
        <v>296</v>
      </c>
      <c r="D2635">
        <v>20</v>
      </c>
      <c r="E2635">
        <v>1</v>
      </c>
      <c r="F2635">
        <v>5</v>
      </c>
      <c r="G2635" t="s">
        <v>1044</v>
      </c>
      <c r="H2635">
        <f>_xlfn.XLOOKUP(D2635, productos!$A$2:$A$150, productos!$D$2:$D$150, "No Encontrado", 0)</f>
        <v>4.25</v>
      </c>
      <c r="I2635">
        <f t="shared" si="41"/>
        <v>4.25</v>
      </c>
    </row>
    <row r="2636" spans="1:9" x14ac:dyDescent="0.25">
      <c r="A2636">
        <v>2363</v>
      </c>
      <c r="B2636" s="1">
        <v>45608</v>
      </c>
      <c r="C2636">
        <v>59</v>
      </c>
      <c r="D2636">
        <v>17</v>
      </c>
      <c r="E2636">
        <v>6</v>
      </c>
      <c r="F2636">
        <v>5</v>
      </c>
      <c r="G2636" t="s">
        <v>1045</v>
      </c>
      <c r="H2636">
        <f>_xlfn.XLOOKUP(D2636, productos!$A$2:$A$150, productos!$D$2:$D$150, "No Encontrado", 0)</f>
        <v>6.54</v>
      </c>
      <c r="I2636">
        <f t="shared" si="41"/>
        <v>39.24</v>
      </c>
    </row>
    <row r="2637" spans="1:9" x14ac:dyDescent="0.25">
      <c r="A2637">
        <v>2417</v>
      </c>
      <c r="B2637" s="1">
        <v>45608</v>
      </c>
      <c r="C2637">
        <v>307</v>
      </c>
      <c r="D2637">
        <v>1</v>
      </c>
      <c r="E2637">
        <v>6</v>
      </c>
      <c r="F2637">
        <v>2</v>
      </c>
      <c r="G2637" t="s">
        <v>1044</v>
      </c>
      <c r="H2637">
        <f>_xlfn.XLOOKUP(D2637, productos!$A$2:$A$150, productos!$D$2:$D$150, "No Encontrado", 0)</f>
        <v>12.24</v>
      </c>
      <c r="I2637">
        <f t="shared" si="41"/>
        <v>73.44</v>
      </c>
    </row>
    <row r="2638" spans="1:9" x14ac:dyDescent="0.25">
      <c r="A2638">
        <v>2686</v>
      </c>
      <c r="B2638" s="1">
        <v>45608</v>
      </c>
      <c r="C2638">
        <v>44</v>
      </c>
      <c r="D2638">
        <v>15</v>
      </c>
      <c r="E2638">
        <v>3</v>
      </c>
      <c r="F2638">
        <v>5</v>
      </c>
      <c r="G2638" t="s">
        <v>1044</v>
      </c>
      <c r="H2638">
        <f>_xlfn.XLOOKUP(D2638, productos!$A$2:$A$150, productos!$D$2:$D$150, "No Encontrado", 0)</f>
        <v>3.51</v>
      </c>
      <c r="I2638">
        <f t="shared" si="41"/>
        <v>10.53</v>
      </c>
    </row>
    <row r="2639" spans="1:9" x14ac:dyDescent="0.25">
      <c r="A2639">
        <v>2730</v>
      </c>
      <c r="B2639" s="1">
        <v>45608</v>
      </c>
      <c r="C2639">
        <v>224</v>
      </c>
      <c r="D2639">
        <v>3</v>
      </c>
      <c r="E2639">
        <v>6</v>
      </c>
      <c r="F2639">
        <v>5</v>
      </c>
      <c r="G2639" t="s">
        <v>1045</v>
      </c>
      <c r="H2639">
        <f>_xlfn.XLOOKUP(D2639, productos!$A$2:$A$150, productos!$D$2:$D$150, "No Encontrado", 0)</f>
        <v>17.23</v>
      </c>
      <c r="I2639">
        <f t="shared" si="41"/>
        <v>103.38</v>
      </c>
    </row>
    <row r="2640" spans="1:9" x14ac:dyDescent="0.25">
      <c r="A2640">
        <v>345</v>
      </c>
      <c r="B2640" s="1">
        <v>45609</v>
      </c>
      <c r="C2640">
        <v>132</v>
      </c>
      <c r="D2640">
        <v>26</v>
      </c>
      <c r="E2640">
        <v>6</v>
      </c>
      <c r="F2640">
        <v>2</v>
      </c>
      <c r="G2640" t="s">
        <v>1044</v>
      </c>
      <c r="H2640">
        <f>_xlfn.XLOOKUP(D2640, productos!$A$2:$A$150, productos!$D$2:$D$150, "No Encontrado", 0)</f>
        <v>9.5399999999999991</v>
      </c>
      <c r="I2640">
        <f t="shared" si="41"/>
        <v>57.239999999999995</v>
      </c>
    </row>
    <row r="2641" spans="1:9" x14ac:dyDescent="0.25">
      <c r="A2641">
        <v>609</v>
      </c>
      <c r="B2641" s="1">
        <v>45609</v>
      </c>
      <c r="C2641">
        <v>241</v>
      </c>
      <c r="D2641">
        <v>34</v>
      </c>
      <c r="E2641">
        <v>4</v>
      </c>
      <c r="F2641">
        <v>5</v>
      </c>
      <c r="G2641" t="s">
        <v>1044</v>
      </c>
      <c r="H2641">
        <f>_xlfn.XLOOKUP(D2641, productos!$A$2:$A$150, productos!$D$2:$D$150, "No Encontrado", 0)</f>
        <v>5.45</v>
      </c>
      <c r="I2641">
        <f t="shared" si="41"/>
        <v>21.8</v>
      </c>
    </row>
    <row r="2642" spans="1:9" x14ac:dyDescent="0.25">
      <c r="A2642">
        <v>661</v>
      </c>
      <c r="B2642" s="1">
        <v>45609</v>
      </c>
      <c r="C2642">
        <v>151</v>
      </c>
      <c r="D2642">
        <v>21</v>
      </c>
      <c r="E2642">
        <v>6</v>
      </c>
      <c r="F2642">
        <v>1</v>
      </c>
      <c r="G2642" t="s">
        <v>1044</v>
      </c>
      <c r="H2642">
        <f>_xlfn.XLOOKUP(D2642, productos!$A$2:$A$150, productos!$D$2:$D$150, "No Encontrado", 0)</f>
        <v>3.25</v>
      </c>
      <c r="I2642">
        <f t="shared" si="41"/>
        <v>19.5</v>
      </c>
    </row>
    <row r="2643" spans="1:9" x14ac:dyDescent="0.25">
      <c r="A2643">
        <v>793</v>
      </c>
      <c r="B2643" s="1">
        <v>45609</v>
      </c>
      <c r="C2643">
        <v>175</v>
      </c>
      <c r="D2643">
        <v>2</v>
      </c>
      <c r="E2643">
        <v>2</v>
      </c>
      <c r="F2643">
        <v>1</v>
      </c>
      <c r="G2643" t="s">
        <v>1044</v>
      </c>
      <c r="H2643">
        <f>_xlfn.XLOOKUP(D2643, productos!$A$2:$A$150, productos!$D$2:$D$150, "No Encontrado", 0)</f>
        <v>5.21</v>
      </c>
      <c r="I2643">
        <f t="shared" si="41"/>
        <v>10.42</v>
      </c>
    </row>
    <row r="2644" spans="1:9" x14ac:dyDescent="0.25">
      <c r="A2644">
        <v>814</v>
      </c>
      <c r="B2644" s="1">
        <v>45609</v>
      </c>
      <c r="C2644">
        <v>262</v>
      </c>
      <c r="D2644">
        <v>22</v>
      </c>
      <c r="E2644">
        <v>4</v>
      </c>
      <c r="F2644">
        <v>5</v>
      </c>
      <c r="G2644" t="s">
        <v>1044</v>
      </c>
      <c r="H2644">
        <f>_xlfn.XLOOKUP(D2644, productos!$A$2:$A$150, productos!$D$2:$D$150, "No Encontrado", 0)</f>
        <v>4.21</v>
      </c>
      <c r="I2644">
        <f t="shared" si="41"/>
        <v>16.84</v>
      </c>
    </row>
    <row r="2645" spans="1:9" x14ac:dyDescent="0.25">
      <c r="A2645">
        <v>1016</v>
      </c>
      <c r="B2645" s="1">
        <v>45609</v>
      </c>
      <c r="C2645">
        <v>131</v>
      </c>
      <c r="D2645">
        <v>4</v>
      </c>
      <c r="E2645">
        <v>4</v>
      </c>
      <c r="F2645">
        <v>4</v>
      </c>
      <c r="G2645" t="s">
        <v>1044</v>
      </c>
      <c r="H2645">
        <f>_xlfn.XLOOKUP(D2645, productos!$A$2:$A$150, productos!$D$2:$D$150, "No Encontrado", 0)</f>
        <v>19.23</v>
      </c>
      <c r="I2645">
        <f t="shared" si="41"/>
        <v>76.92</v>
      </c>
    </row>
    <row r="2646" spans="1:9" x14ac:dyDescent="0.25">
      <c r="A2646">
        <v>1022</v>
      </c>
      <c r="B2646" s="1">
        <v>45609</v>
      </c>
      <c r="C2646">
        <v>134</v>
      </c>
      <c r="D2646">
        <v>9</v>
      </c>
      <c r="E2646">
        <v>4</v>
      </c>
      <c r="F2646">
        <v>5</v>
      </c>
      <c r="G2646" t="s">
        <v>1044</v>
      </c>
      <c r="H2646">
        <f>_xlfn.XLOOKUP(D2646, productos!$A$2:$A$150, productos!$D$2:$D$150, "No Encontrado", 0)</f>
        <v>18.559999999999999</v>
      </c>
      <c r="I2646">
        <f t="shared" si="41"/>
        <v>74.239999999999995</v>
      </c>
    </row>
    <row r="2647" spans="1:9" x14ac:dyDescent="0.25">
      <c r="A2647">
        <v>1075</v>
      </c>
      <c r="B2647" s="1">
        <v>45609</v>
      </c>
      <c r="C2647">
        <v>207</v>
      </c>
      <c r="D2647">
        <v>18</v>
      </c>
      <c r="E2647">
        <v>3</v>
      </c>
      <c r="F2647">
        <v>5</v>
      </c>
      <c r="G2647" t="s">
        <v>1044</v>
      </c>
      <c r="H2647">
        <f>_xlfn.XLOOKUP(D2647, productos!$A$2:$A$150, productos!$D$2:$D$150, "No Encontrado", 0)</f>
        <v>7.25</v>
      </c>
      <c r="I2647">
        <f t="shared" si="41"/>
        <v>21.75</v>
      </c>
    </row>
    <row r="2648" spans="1:9" x14ac:dyDescent="0.25">
      <c r="A2648">
        <v>1276</v>
      </c>
      <c r="B2648" s="1">
        <v>45609</v>
      </c>
      <c r="C2648">
        <v>99</v>
      </c>
      <c r="D2648">
        <v>4</v>
      </c>
      <c r="E2648">
        <v>1</v>
      </c>
      <c r="F2648">
        <v>1</v>
      </c>
      <c r="G2648" t="s">
        <v>1044</v>
      </c>
      <c r="H2648">
        <f>_xlfn.XLOOKUP(D2648, productos!$A$2:$A$150, productos!$D$2:$D$150, "No Encontrado", 0)</f>
        <v>19.23</v>
      </c>
      <c r="I2648">
        <f t="shared" si="41"/>
        <v>19.23</v>
      </c>
    </row>
    <row r="2649" spans="1:9" x14ac:dyDescent="0.25">
      <c r="A2649">
        <v>2167</v>
      </c>
      <c r="B2649" s="1">
        <v>45609</v>
      </c>
      <c r="C2649">
        <v>311</v>
      </c>
      <c r="D2649">
        <v>27</v>
      </c>
      <c r="E2649">
        <v>1</v>
      </c>
      <c r="F2649">
        <v>3</v>
      </c>
      <c r="G2649" t="s">
        <v>1044</v>
      </c>
      <c r="H2649">
        <f>_xlfn.XLOOKUP(D2649, productos!$A$2:$A$150, productos!$D$2:$D$150, "No Encontrado", 0)</f>
        <v>6.21</v>
      </c>
      <c r="I2649">
        <f t="shared" si="41"/>
        <v>6.21</v>
      </c>
    </row>
    <row r="2650" spans="1:9" x14ac:dyDescent="0.25">
      <c r="A2650">
        <v>2262</v>
      </c>
      <c r="B2650" s="1">
        <v>45609</v>
      </c>
      <c r="C2650">
        <v>222</v>
      </c>
      <c r="D2650">
        <v>19</v>
      </c>
      <c r="E2650">
        <v>2</v>
      </c>
      <c r="F2650">
        <v>4</v>
      </c>
      <c r="G2650" t="s">
        <v>1044</v>
      </c>
      <c r="H2650">
        <f>_xlfn.XLOOKUP(D2650, productos!$A$2:$A$150, productos!$D$2:$D$150, "No Encontrado", 0)</f>
        <v>6.54</v>
      </c>
      <c r="I2650">
        <f t="shared" si="41"/>
        <v>13.08</v>
      </c>
    </row>
    <row r="2651" spans="1:9" x14ac:dyDescent="0.25">
      <c r="A2651">
        <v>2298</v>
      </c>
      <c r="B2651" s="1">
        <v>45609</v>
      </c>
      <c r="C2651">
        <v>140</v>
      </c>
      <c r="D2651">
        <v>33</v>
      </c>
      <c r="E2651">
        <v>2</v>
      </c>
      <c r="F2651">
        <v>3</v>
      </c>
      <c r="G2651" t="s">
        <v>1044</v>
      </c>
      <c r="H2651">
        <f>_xlfn.XLOOKUP(D2651, productos!$A$2:$A$150, productos!$D$2:$D$150, "No Encontrado", 0)</f>
        <v>8.5399999999999991</v>
      </c>
      <c r="I2651">
        <f t="shared" si="41"/>
        <v>17.079999999999998</v>
      </c>
    </row>
    <row r="2652" spans="1:9" x14ac:dyDescent="0.25">
      <c r="A2652">
        <v>2506</v>
      </c>
      <c r="B2652" s="1">
        <v>45609</v>
      </c>
      <c r="C2652">
        <v>84</v>
      </c>
      <c r="D2652">
        <v>26</v>
      </c>
      <c r="E2652">
        <v>1</v>
      </c>
      <c r="F2652">
        <v>4</v>
      </c>
      <c r="G2652" t="s">
        <v>1044</v>
      </c>
      <c r="H2652">
        <f>_xlfn.XLOOKUP(D2652, productos!$A$2:$A$150, productos!$D$2:$D$150, "No Encontrado", 0)</f>
        <v>9.5399999999999991</v>
      </c>
      <c r="I2652">
        <f t="shared" si="41"/>
        <v>9.5399999999999991</v>
      </c>
    </row>
    <row r="2653" spans="1:9" x14ac:dyDescent="0.25">
      <c r="A2653">
        <v>2868</v>
      </c>
      <c r="B2653" s="1">
        <v>45609</v>
      </c>
      <c r="C2653">
        <v>94</v>
      </c>
      <c r="D2653">
        <v>25</v>
      </c>
      <c r="E2653">
        <v>5</v>
      </c>
      <c r="F2653">
        <v>4</v>
      </c>
      <c r="G2653" t="s">
        <v>1044</v>
      </c>
      <c r="H2653">
        <f>_xlfn.XLOOKUP(D2653, productos!$A$2:$A$150, productos!$D$2:$D$150, "No Encontrado", 0)</f>
        <v>15.45</v>
      </c>
      <c r="I2653">
        <f t="shared" si="41"/>
        <v>77.25</v>
      </c>
    </row>
    <row r="2654" spans="1:9" x14ac:dyDescent="0.25">
      <c r="A2654">
        <v>1772</v>
      </c>
      <c r="B2654" s="1">
        <v>45610</v>
      </c>
      <c r="C2654">
        <v>164</v>
      </c>
      <c r="D2654">
        <v>24</v>
      </c>
      <c r="E2654">
        <v>2</v>
      </c>
      <c r="F2654">
        <v>4</v>
      </c>
      <c r="G2654" t="s">
        <v>1045</v>
      </c>
      <c r="H2654">
        <f>_xlfn.XLOOKUP(D2654, productos!$A$2:$A$150, productos!$D$2:$D$150, "No Encontrado", 0)</f>
        <v>13.54</v>
      </c>
      <c r="I2654">
        <f t="shared" si="41"/>
        <v>27.08</v>
      </c>
    </row>
    <row r="2655" spans="1:9" x14ac:dyDescent="0.25">
      <c r="A2655">
        <v>2004</v>
      </c>
      <c r="B2655" s="1">
        <v>45610</v>
      </c>
      <c r="C2655">
        <v>252</v>
      </c>
      <c r="D2655">
        <v>7</v>
      </c>
      <c r="E2655">
        <v>2</v>
      </c>
      <c r="F2655">
        <v>5</v>
      </c>
      <c r="G2655" t="s">
        <v>1044</v>
      </c>
      <c r="H2655">
        <f>_xlfn.XLOOKUP(D2655, productos!$A$2:$A$150, productos!$D$2:$D$150, "No Encontrado", 0)</f>
        <v>11.25</v>
      </c>
      <c r="I2655">
        <f t="shared" si="41"/>
        <v>22.5</v>
      </c>
    </row>
    <row r="2656" spans="1:9" x14ac:dyDescent="0.25">
      <c r="A2656">
        <v>2345</v>
      </c>
      <c r="B2656" s="1">
        <v>45610</v>
      </c>
      <c r="C2656">
        <v>194</v>
      </c>
      <c r="D2656">
        <v>2</v>
      </c>
      <c r="E2656">
        <v>4</v>
      </c>
      <c r="F2656">
        <v>4</v>
      </c>
      <c r="G2656" t="s">
        <v>1045</v>
      </c>
      <c r="H2656">
        <f>_xlfn.XLOOKUP(D2656, productos!$A$2:$A$150, productos!$D$2:$D$150, "No Encontrado", 0)</f>
        <v>5.21</v>
      </c>
      <c r="I2656">
        <f t="shared" si="41"/>
        <v>20.84</v>
      </c>
    </row>
    <row r="2657" spans="1:9" x14ac:dyDescent="0.25">
      <c r="A2657">
        <v>2463</v>
      </c>
      <c r="B2657" s="1">
        <v>45610</v>
      </c>
      <c r="C2657">
        <v>95</v>
      </c>
      <c r="D2657">
        <v>27</v>
      </c>
      <c r="E2657">
        <v>4</v>
      </c>
      <c r="F2657">
        <v>5</v>
      </c>
      <c r="G2657" t="s">
        <v>1044</v>
      </c>
      <c r="H2657">
        <f>_xlfn.XLOOKUP(D2657, productos!$A$2:$A$150, productos!$D$2:$D$150, "No Encontrado", 0)</f>
        <v>6.21</v>
      </c>
      <c r="I2657">
        <f t="shared" si="41"/>
        <v>24.84</v>
      </c>
    </row>
    <row r="2658" spans="1:9" x14ac:dyDescent="0.25">
      <c r="A2658">
        <v>2541</v>
      </c>
      <c r="B2658" s="1">
        <v>45610</v>
      </c>
      <c r="C2658">
        <v>3</v>
      </c>
      <c r="D2658">
        <v>38</v>
      </c>
      <c r="E2658">
        <v>3</v>
      </c>
      <c r="F2658">
        <v>1</v>
      </c>
      <c r="G2658" t="s">
        <v>1044</v>
      </c>
      <c r="H2658">
        <f>_xlfn.XLOOKUP(D2658, productos!$A$2:$A$150, productos!$D$2:$D$150, "No Encontrado", 0)</f>
        <v>6.21</v>
      </c>
      <c r="I2658">
        <f t="shared" si="41"/>
        <v>18.63</v>
      </c>
    </row>
    <row r="2659" spans="1:9" x14ac:dyDescent="0.25">
      <c r="A2659">
        <v>2543</v>
      </c>
      <c r="B2659" s="1">
        <v>45610</v>
      </c>
      <c r="C2659">
        <v>296</v>
      </c>
      <c r="D2659">
        <v>32</v>
      </c>
      <c r="E2659">
        <v>4</v>
      </c>
      <c r="F2659">
        <v>1</v>
      </c>
      <c r="G2659" t="s">
        <v>1044</v>
      </c>
      <c r="H2659">
        <f>_xlfn.XLOOKUP(D2659, productos!$A$2:$A$150, productos!$D$2:$D$150, "No Encontrado", 0)</f>
        <v>6.25</v>
      </c>
      <c r="I2659">
        <f t="shared" si="41"/>
        <v>25</v>
      </c>
    </row>
    <row r="2660" spans="1:9" x14ac:dyDescent="0.25">
      <c r="A2660">
        <v>2807</v>
      </c>
      <c r="B2660" s="1">
        <v>45610</v>
      </c>
      <c r="C2660">
        <v>26</v>
      </c>
      <c r="D2660">
        <v>7</v>
      </c>
      <c r="E2660">
        <v>3</v>
      </c>
      <c r="F2660">
        <v>1</v>
      </c>
      <c r="G2660" t="s">
        <v>1045</v>
      </c>
      <c r="H2660">
        <f>_xlfn.XLOOKUP(D2660, productos!$A$2:$A$150, productos!$D$2:$D$150, "No Encontrado", 0)</f>
        <v>11.25</v>
      </c>
      <c r="I2660">
        <f t="shared" si="41"/>
        <v>33.75</v>
      </c>
    </row>
    <row r="2661" spans="1:9" x14ac:dyDescent="0.25">
      <c r="A2661">
        <v>490</v>
      </c>
      <c r="B2661" s="1">
        <v>45611</v>
      </c>
      <c r="C2661">
        <v>20</v>
      </c>
      <c r="D2661">
        <v>5</v>
      </c>
      <c r="E2661">
        <v>6</v>
      </c>
      <c r="F2661">
        <v>4</v>
      </c>
      <c r="G2661" t="s">
        <v>1044</v>
      </c>
      <c r="H2661">
        <f>_xlfn.XLOOKUP(D2661, productos!$A$2:$A$150, productos!$D$2:$D$150, "No Encontrado", 0)</f>
        <v>5.65</v>
      </c>
      <c r="I2661">
        <f t="shared" si="41"/>
        <v>33.900000000000006</v>
      </c>
    </row>
    <row r="2662" spans="1:9" x14ac:dyDescent="0.25">
      <c r="A2662">
        <v>871</v>
      </c>
      <c r="B2662" s="1">
        <v>45611</v>
      </c>
      <c r="C2662">
        <v>242</v>
      </c>
      <c r="D2662">
        <v>25</v>
      </c>
      <c r="E2662">
        <v>4</v>
      </c>
      <c r="F2662">
        <v>1</v>
      </c>
      <c r="G2662" t="s">
        <v>1044</v>
      </c>
      <c r="H2662">
        <f>_xlfn.XLOOKUP(D2662, productos!$A$2:$A$150, productos!$D$2:$D$150, "No Encontrado", 0)</f>
        <v>15.45</v>
      </c>
      <c r="I2662">
        <f t="shared" si="41"/>
        <v>61.8</v>
      </c>
    </row>
    <row r="2663" spans="1:9" x14ac:dyDescent="0.25">
      <c r="A2663">
        <v>1420</v>
      </c>
      <c r="B2663" s="1">
        <v>45611</v>
      </c>
      <c r="C2663">
        <v>277</v>
      </c>
      <c r="D2663">
        <v>33</v>
      </c>
      <c r="E2663">
        <v>4</v>
      </c>
      <c r="F2663">
        <v>4</v>
      </c>
      <c r="G2663" t="s">
        <v>1044</v>
      </c>
      <c r="H2663">
        <f>_xlfn.XLOOKUP(D2663, productos!$A$2:$A$150, productos!$D$2:$D$150, "No Encontrado", 0)</f>
        <v>8.5399999999999991</v>
      </c>
      <c r="I2663">
        <f t="shared" si="41"/>
        <v>34.159999999999997</v>
      </c>
    </row>
    <row r="2664" spans="1:9" x14ac:dyDescent="0.25">
      <c r="A2664">
        <v>1488</v>
      </c>
      <c r="B2664" s="1">
        <v>45611</v>
      </c>
      <c r="C2664">
        <v>162</v>
      </c>
      <c r="D2664">
        <v>31</v>
      </c>
      <c r="E2664">
        <v>4</v>
      </c>
      <c r="F2664">
        <v>1</v>
      </c>
      <c r="G2664" t="s">
        <v>1044</v>
      </c>
      <c r="H2664">
        <f>_xlfn.XLOOKUP(D2664, productos!$A$2:$A$150, productos!$D$2:$D$150, "No Encontrado", 0)</f>
        <v>5.24</v>
      </c>
      <c r="I2664">
        <f t="shared" si="41"/>
        <v>20.96</v>
      </c>
    </row>
    <row r="2665" spans="1:9" x14ac:dyDescent="0.25">
      <c r="A2665">
        <v>1883</v>
      </c>
      <c r="B2665" s="1">
        <v>45611</v>
      </c>
      <c r="C2665">
        <v>2</v>
      </c>
      <c r="D2665">
        <v>6</v>
      </c>
      <c r="E2665">
        <v>2</v>
      </c>
      <c r="F2665">
        <v>1</v>
      </c>
      <c r="G2665" t="s">
        <v>1044</v>
      </c>
      <c r="H2665">
        <f>_xlfn.XLOOKUP(D2665, productos!$A$2:$A$150, productos!$D$2:$D$150, "No Encontrado", 0)</f>
        <v>28.56</v>
      </c>
      <c r="I2665">
        <f t="shared" si="41"/>
        <v>57.12</v>
      </c>
    </row>
    <row r="2666" spans="1:9" x14ac:dyDescent="0.25">
      <c r="A2666">
        <v>2062</v>
      </c>
      <c r="B2666" s="1">
        <v>45611</v>
      </c>
      <c r="C2666">
        <v>172</v>
      </c>
      <c r="D2666">
        <v>28</v>
      </c>
      <c r="E2666">
        <v>1</v>
      </c>
      <c r="F2666">
        <v>4</v>
      </c>
      <c r="G2666" t="s">
        <v>1044</v>
      </c>
      <c r="H2666">
        <f>_xlfn.XLOOKUP(D2666, productos!$A$2:$A$150, productos!$D$2:$D$150, "No Encontrado", 0)</f>
        <v>9.4499999999999993</v>
      </c>
      <c r="I2666">
        <f t="shared" si="41"/>
        <v>9.4499999999999993</v>
      </c>
    </row>
    <row r="2667" spans="1:9" x14ac:dyDescent="0.25">
      <c r="A2667">
        <v>2805</v>
      </c>
      <c r="B2667" s="1">
        <v>45611</v>
      </c>
      <c r="C2667">
        <v>256</v>
      </c>
      <c r="D2667">
        <v>8</v>
      </c>
      <c r="E2667">
        <v>6</v>
      </c>
      <c r="F2667">
        <v>4</v>
      </c>
      <c r="G2667" t="s">
        <v>1044</v>
      </c>
      <c r="H2667">
        <f>_xlfn.XLOOKUP(D2667, productos!$A$2:$A$150, productos!$D$2:$D$150, "No Encontrado", 0)</f>
        <v>16.21</v>
      </c>
      <c r="I2667">
        <f t="shared" si="41"/>
        <v>97.26</v>
      </c>
    </row>
    <row r="2668" spans="1:9" x14ac:dyDescent="0.25">
      <c r="A2668">
        <v>747</v>
      </c>
      <c r="B2668" s="1">
        <v>45612</v>
      </c>
      <c r="C2668">
        <v>84</v>
      </c>
      <c r="D2668">
        <v>21</v>
      </c>
      <c r="E2668">
        <v>1</v>
      </c>
      <c r="F2668">
        <v>5</v>
      </c>
      <c r="G2668" t="s">
        <v>1044</v>
      </c>
      <c r="H2668">
        <f>_xlfn.XLOOKUP(D2668, productos!$A$2:$A$150, productos!$D$2:$D$150, "No Encontrado", 0)</f>
        <v>3.25</v>
      </c>
      <c r="I2668">
        <f t="shared" si="41"/>
        <v>3.25</v>
      </c>
    </row>
    <row r="2669" spans="1:9" x14ac:dyDescent="0.25">
      <c r="A2669">
        <v>1497</v>
      </c>
      <c r="B2669" s="1">
        <v>45612</v>
      </c>
      <c r="C2669">
        <v>63</v>
      </c>
      <c r="D2669">
        <v>37</v>
      </c>
      <c r="E2669">
        <v>2</v>
      </c>
      <c r="F2669">
        <v>4</v>
      </c>
      <c r="G2669" t="s">
        <v>1044</v>
      </c>
      <c r="H2669">
        <f>_xlfn.XLOOKUP(D2669, productos!$A$2:$A$150, productos!$D$2:$D$150, "No Encontrado", 0)</f>
        <v>3.65</v>
      </c>
      <c r="I2669">
        <f t="shared" si="41"/>
        <v>7.3</v>
      </c>
    </row>
    <row r="2670" spans="1:9" x14ac:dyDescent="0.25">
      <c r="A2670">
        <v>2207</v>
      </c>
      <c r="B2670" s="1">
        <v>45612</v>
      </c>
      <c r="C2670">
        <v>149</v>
      </c>
      <c r="D2670">
        <v>17</v>
      </c>
      <c r="E2670">
        <v>1</v>
      </c>
      <c r="F2670">
        <v>4</v>
      </c>
      <c r="G2670" t="s">
        <v>1045</v>
      </c>
      <c r="H2670">
        <f>_xlfn.XLOOKUP(D2670, productos!$A$2:$A$150, productos!$D$2:$D$150, "No Encontrado", 0)</f>
        <v>6.54</v>
      </c>
      <c r="I2670">
        <f t="shared" si="41"/>
        <v>6.54</v>
      </c>
    </row>
    <row r="2671" spans="1:9" x14ac:dyDescent="0.25">
      <c r="A2671">
        <v>2336</v>
      </c>
      <c r="B2671" s="1">
        <v>45612</v>
      </c>
      <c r="C2671">
        <v>148</v>
      </c>
      <c r="D2671">
        <v>37</v>
      </c>
      <c r="E2671">
        <v>4</v>
      </c>
      <c r="F2671">
        <v>4</v>
      </c>
      <c r="G2671" t="s">
        <v>1044</v>
      </c>
      <c r="H2671">
        <f>_xlfn.XLOOKUP(D2671, productos!$A$2:$A$150, productos!$D$2:$D$150, "No Encontrado", 0)</f>
        <v>3.65</v>
      </c>
      <c r="I2671">
        <f t="shared" si="41"/>
        <v>14.6</v>
      </c>
    </row>
    <row r="2672" spans="1:9" x14ac:dyDescent="0.25">
      <c r="A2672">
        <v>2867</v>
      </c>
      <c r="B2672" s="1">
        <v>45612</v>
      </c>
      <c r="C2672">
        <v>7</v>
      </c>
      <c r="D2672">
        <v>17</v>
      </c>
      <c r="E2672">
        <v>1</v>
      </c>
      <c r="F2672">
        <v>1</v>
      </c>
      <c r="G2672" t="s">
        <v>1044</v>
      </c>
      <c r="H2672">
        <f>_xlfn.XLOOKUP(D2672, productos!$A$2:$A$150, productos!$D$2:$D$150, "No Encontrado", 0)</f>
        <v>6.54</v>
      </c>
      <c r="I2672">
        <f t="shared" si="41"/>
        <v>6.54</v>
      </c>
    </row>
    <row r="2673" spans="1:9" x14ac:dyDescent="0.25">
      <c r="A2673">
        <v>2888</v>
      </c>
      <c r="B2673" s="1">
        <v>45612</v>
      </c>
      <c r="C2673">
        <v>83</v>
      </c>
      <c r="D2673">
        <v>28</v>
      </c>
      <c r="E2673">
        <v>3</v>
      </c>
      <c r="F2673">
        <v>3</v>
      </c>
      <c r="G2673" t="s">
        <v>1044</v>
      </c>
      <c r="H2673">
        <f>_xlfn.XLOOKUP(D2673, productos!$A$2:$A$150, productos!$D$2:$D$150, "No Encontrado", 0)</f>
        <v>9.4499999999999993</v>
      </c>
      <c r="I2673">
        <f t="shared" si="41"/>
        <v>28.349999999999998</v>
      </c>
    </row>
    <row r="2674" spans="1:9" x14ac:dyDescent="0.25">
      <c r="A2674">
        <v>513</v>
      </c>
      <c r="B2674" s="1">
        <v>45613</v>
      </c>
      <c r="C2674">
        <v>278</v>
      </c>
      <c r="D2674">
        <v>25</v>
      </c>
      <c r="E2674">
        <v>6</v>
      </c>
      <c r="F2674">
        <v>4</v>
      </c>
      <c r="G2674" t="s">
        <v>1044</v>
      </c>
      <c r="H2674">
        <f>_xlfn.XLOOKUP(D2674, productos!$A$2:$A$150, productos!$D$2:$D$150, "No Encontrado", 0)</f>
        <v>15.45</v>
      </c>
      <c r="I2674">
        <f t="shared" si="41"/>
        <v>92.699999999999989</v>
      </c>
    </row>
    <row r="2675" spans="1:9" x14ac:dyDescent="0.25">
      <c r="A2675">
        <v>983</v>
      </c>
      <c r="B2675" s="1">
        <v>45613</v>
      </c>
      <c r="C2675">
        <v>11</v>
      </c>
      <c r="D2675">
        <v>33</v>
      </c>
      <c r="E2675">
        <v>6</v>
      </c>
      <c r="F2675">
        <v>1</v>
      </c>
      <c r="G2675" t="s">
        <v>1044</v>
      </c>
      <c r="H2675">
        <f>_xlfn.XLOOKUP(D2675, productos!$A$2:$A$150, productos!$D$2:$D$150, "No Encontrado", 0)</f>
        <v>8.5399999999999991</v>
      </c>
      <c r="I2675">
        <f t="shared" si="41"/>
        <v>51.239999999999995</v>
      </c>
    </row>
    <row r="2676" spans="1:9" x14ac:dyDescent="0.25">
      <c r="A2676">
        <v>1892</v>
      </c>
      <c r="B2676" s="1">
        <v>45613</v>
      </c>
      <c r="C2676">
        <v>222</v>
      </c>
      <c r="D2676">
        <v>13</v>
      </c>
      <c r="E2676">
        <v>1</v>
      </c>
      <c r="F2676">
        <v>4</v>
      </c>
      <c r="G2676" t="s">
        <v>1044</v>
      </c>
      <c r="H2676">
        <f>_xlfn.XLOOKUP(D2676, productos!$A$2:$A$150, productos!$D$2:$D$150, "No Encontrado", 0)</f>
        <v>12.56</v>
      </c>
      <c r="I2676">
        <f t="shared" si="41"/>
        <v>12.56</v>
      </c>
    </row>
    <row r="2677" spans="1:9" x14ac:dyDescent="0.25">
      <c r="A2677">
        <v>1993</v>
      </c>
      <c r="B2677" s="1">
        <v>45613</v>
      </c>
      <c r="C2677">
        <v>99</v>
      </c>
      <c r="D2677">
        <v>31</v>
      </c>
      <c r="E2677">
        <v>1</v>
      </c>
      <c r="F2677">
        <v>1</v>
      </c>
      <c r="G2677" t="s">
        <v>1044</v>
      </c>
      <c r="H2677">
        <f>_xlfn.XLOOKUP(D2677, productos!$A$2:$A$150, productos!$D$2:$D$150, "No Encontrado", 0)</f>
        <v>5.24</v>
      </c>
      <c r="I2677">
        <f t="shared" si="41"/>
        <v>5.24</v>
      </c>
    </row>
    <row r="2678" spans="1:9" x14ac:dyDescent="0.25">
      <c r="A2678">
        <v>2444</v>
      </c>
      <c r="B2678" s="1">
        <v>45613</v>
      </c>
      <c r="C2678">
        <v>185</v>
      </c>
      <c r="D2678">
        <v>4</v>
      </c>
      <c r="E2678">
        <v>6</v>
      </c>
      <c r="F2678">
        <v>3</v>
      </c>
      <c r="G2678" t="s">
        <v>1045</v>
      </c>
      <c r="H2678">
        <f>_xlfn.XLOOKUP(D2678, productos!$A$2:$A$150, productos!$D$2:$D$150, "No Encontrado", 0)</f>
        <v>19.23</v>
      </c>
      <c r="I2678">
        <f t="shared" si="41"/>
        <v>115.38</v>
      </c>
    </row>
    <row r="2679" spans="1:9" x14ac:dyDescent="0.25">
      <c r="A2679">
        <v>2456</v>
      </c>
      <c r="B2679" s="1">
        <v>45613</v>
      </c>
      <c r="C2679">
        <v>243</v>
      </c>
      <c r="D2679">
        <v>37</v>
      </c>
      <c r="E2679">
        <v>1</v>
      </c>
      <c r="F2679">
        <v>1</v>
      </c>
      <c r="G2679" t="s">
        <v>1045</v>
      </c>
      <c r="H2679">
        <f>_xlfn.XLOOKUP(D2679, productos!$A$2:$A$150, productos!$D$2:$D$150, "No Encontrado", 0)</f>
        <v>3.65</v>
      </c>
      <c r="I2679">
        <f t="shared" si="41"/>
        <v>3.65</v>
      </c>
    </row>
    <row r="2680" spans="1:9" x14ac:dyDescent="0.25">
      <c r="A2680">
        <v>443</v>
      </c>
      <c r="B2680" s="1">
        <v>45614</v>
      </c>
      <c r="C2680">
        <v>263</v>
      </c>
      <c r="D2680">
        <v>9</v>
      </c>
      <c r="E2680">
        <v>2</v>
      </c>
      <c r="F2680">
        <v>4</v>
      </c>
      <c r="G2680" t="s">
        <v>1044</v>
      </c>
      <c r="H2680">
        <f>_xlfn.XLOOKUP(D2680, productos!$A$2:$A$150, productos!$D$2:$D$150, "No Encontrado", 0)</f>
        <v>18.559999999999999</v>
      </c>
      <c r="I2680">
        <f t="shared" si="41"/>
        <v>37.119999999999997</v>
      </c>
    </row>
    <row r="2681" spans="1:9" x14ac:dyDescent="0.25">
      <c r="A2681">
        <v>588</v>
      </c>
      <c r="B2681" s="1">
        <v>45614</v>
      </c>
      <c r="C2681">
        <v>261</v>
      </c>
      <c r="D2681">
        <v>25</v>
      </c>
      <c r="E2681">
        <v>2</v>
      </c>
      <c r="F2681">
        <v>3</v>
      </c>
      <c r="G2681" t="s">
        <v>1044</v>
      </c>
      <c r="H2681">
        <f>_xlfn.XLOOKUP(D2681, productos!$A$2:$A$150, productos!$D$2:$D$150, "No Encontrado", 0)</f>
        <v>15.45</v>
      </c>
      <c r="I2681">
        <f t="shared" si="41"/>
        <v>30.9</v>
      </c>
    </row>
    <row r="2682" spans="1:9" x14ac:dyDescent="0.25">
      <c r="A2682">
        <v>1236</v>
      </c>
      <c r="B2682" s="1">
        <v>45614</v>
      </c>
      <c r="C2682">
        <v>228</v>
      </c>
      <c r="D2682">
        <v>29</v>
      </c>
      <c r="E2682">
        <v>4</v>
      </c>
      <c r="F2682">
        <v>2</v>
      </c>
      <c r="G2682" t="s">
        <v>1044</v>
      </c>
      <c r="H2682">
        <f>_xlfn.XLOOKUP(D2682, productos!$A$2:$A$150, productos!$D$2:$D$150, "No Encontrado", 0)</f>
        <v>11.54</v>
      </c>
      <c r="I2682">
        <f t="shared" si="41"/>
        <v>46.16</v>
      </c>
    </row>
    <row r="2683" spans="1:9" x14ac:dyDescent="0.25">
      <c r="A2683">
        <v>1410</v>
      </c>
      <c r="B2683" s="1">
        <v>45614</v>
      </c>
      <c r="C2683">
        <v>34</v>
      </c>
      <c r="D2683">
        <v>12</v>
      </c>
      <c r="E2683">
        <v>4</v>
      </c>
      <c r="F2683">
        <v>2</v>
      </c>
      <c r="G2683" t="s">
        <v>1044</v>
      </c>
      <c r="H2683">
        <f>_xlfn.XLOOKUP(D2683, productos!$A$2:$A$150, productos!$D$2:$D$150, "No Encontrado", 0)</f>
        <v>8.1199999999999992</v>
      </c>
      <c r="I2683">
        <f t="shared" si="41"/>
        <v>32.479999999999997</v>
      </c>
    </row>
    <row r="2684" spans="1:9" x14ac:dyDescent="0.25">
      <c r="A2684">
        <v>1508</v>
      </c>
      <c r="B2684" s="1">
        <v>45614</v>
      </c>
      <c r="C2684">
        <v>295</v>
      </c>
      <c r="D2684">
        <v>6</v>
      </c>
      <c r="E2684">
        <v>4</v>
      </c>
      <c r="F2684">
        <v>5</v>
      </c>
      <c r="G2684" t="s">
        <v>1044</v>
      </c>
      <c r="H2684">
        <f>_xlfn.XLOOKUP(D2684, productos!$A$2:$A$150, productos!$D$2:$D$150, "No Encontrado", 0)</f>
        <v>28.56</v>
      </c>
      <c r="I2684">
        <f t="shared" si="41"/>
        <v>114.24</v>
      </c>
    </row>
    <row r="2685" spans="1:9" x14ac:dyDescent="0.25">
      <c r="A2685">
        <v>1948</v>
      </c>
      <c r="B2685" s="1">
        <v>45614</v>
      </c>
      <c r="C2685">
        <v>5</v>
      </c>
      <c r="D2685">
        <v>19</v>
      </c>
      <c r="E2685">
        <v>3</v>
      </c>
      <c r="F2685">
        <v>4</v>
      </c>
      <c r="G2685" t="s">
        <v>1044</v>
      </c>
      <c r="H2685">
        <f>_xlfn.XLOOKUP(D2685, productos!$A$2:$A$150, productos!$D$2:$D$150, "No Encontrado", 0)</f>
        <v>6.54</v>
      </c>
      <c r="I2685">
        <f t="shared" si="41"/>
        <v>19.62</v>
      </c>
    </row>
    <row r="2686" spans="1:9" x14ac:dyDescent="0.25">
      <c r="A2686">
        <v>2203</v>
      </c>
      <c r="B2686" s="1">
        <v>45614</v>
      </c>
      <c r="C2686">
        <v>68</v>
      </c>
      <c r="D2686">
        <v>14</v>
      </c>
      <c r="E2686">
        <v>5</v>
      </c>
      <c r="F2686">
        <v>5</v>
      </c>
      <c r="G2686" t="s">
        <v>1044</v>
      </c>
      <c r="H2686">
        <f>_xlfn.XLOOKUP(D2686, productos!$A$2:$A$150, productos!$D$2:$D$150, "No Encontrado", 0)</f>
        <v>12.36</v>
      </c>
      <c r="I2686">
        <f t="shared" si="41"/>
        <v>61.8</v>
      </c>
    </row>
    <row r="2687" spans="1:9" x14ac:dyDescent="0.25">
      <c r="A2687">
        <v>2267</v>
      </c>
      <c r="B2687" s="1">
        <v>45614</v>
      </c>
      <c r="C2687">
        <v>239</v>
      </c>
      <c r="D2687">
        <v>23</v>
      </c>
      <c r="E2687">
        <v>6</v>
      </c>
      <c r="F2687">
        <v>2</v>
      </c>
      <c r="G2687" t="s">
        <v>1044</v>
      </c>
      <c r="H2687">
        <f>_xlfn.XLOOKUP(D2687, productos!$A$2:$A$150, productos!$D$2:$D$150, "No Encontrado", 0)</f>
        <v>8.23</v>
      </c>
      <c r="I2687">
        <f t="shared" si="41"/>
        <v>49.38</v>
      </c>
    </row>
    <row r="2688" spans="1:9" x14ac:dyDescent="0.25">
      <c r="A2688">
        <v>2343</v>
      </c>
      <c r="B2688" s="1">
        <v>45614</v>
      </c>
      <c r="C2688">
        <v>263</v>
      </c>
      <c r="D2688">
        <v>11</v>
      </c>
      <c r="E2688">
        <v>1</v>
      </c>
      <c r="F2688">
        <v>3</v>
      </c>
      <c r="G2688" t="s">
        <v>1044</v>
      </c>
      <c r="H2688">
        <f>_xlfn.XLOOKUP(D2688, productos!$A$2:$A$150, productos!$D$2:$D$150, "No Encontrado", 0)</f>
        <v>11.23</v>
      </c>
      <c r="I2688">
        <f t="shared" si="41"/>
        <v>11.23</v>
      </c>
    </row>
    <row r="2689" spans="1:9" x14ac:dyDescent="0.25">
      <c r="A2689">
        <v>2742</v>
      </c>
      <c r="B2689" s="1">
        <v>45614</v>
      </c>
      <c r="C2689">
        <v>25</v>
      </c>
      <c r="D2689">
        <v>3</v>
      </c>
      <c r="E2689">
        <v>1</v>
      </c>
      <c r="F2689">
        <v>3</v>
      </c>
      <c r="G2689" t="s">
        <v>1044</v>
      </c>
      <c r="H2689">
        <f>_xlfn.XLOOKUP(D2689, productos!$A$2:$A$150, productos!$D$2:$D$150, "No Encontrado", 0)</f>
        <v>17.23</v>
      </c>
      <c r="I2689">
        <f t="shared" si="41"/>
        <v>17.23</v>
      </c>
    </row>
    <row r="2690" spans="1:9" x14ac:dyDescent="0.25">
      <c r="A2690">
        <v>611</v>
      </c>
      <c r="B2690" s="1">
        <v>45615</v>
      </c>
      <c r="C2690">
        <v>119</v>
      </c>
      <c r="D2690">
        <v>38</v>
      </c>
      <c r="E2690">
        <v>6</v>
      </c>
      <c r="F2690">
        <v>4</v>
      </c>
      <c r="G2690" t="s">
        <v>1044</v>
      </c>
      <c r="H2690">
        <f>_xlfn.XLOOKUP(D2690, productos!$A$2:$A$150, productos!$D$2:$D$150, "No Encontrado", 0)</f>
        <v>6.21</v>
      </c>
      <c r="I2690">
        <f t="shared" si="41"/>
        <v>37.26</v>
      </c>
    </row>
    <row r="2691" spans="1:9" x14ac:dyDescent="0.25">
      <c r="A2691">
        <v>887</v>
      </c>
      <c r="B2691" s="1">
        <v>45615</v>
      </c>
      <c r="C2691">
        <v>214</v>
      </c>
      <c r="D2691">
        <v>16</v>
      </c>
      <c r="E2691">
        <v>6</v>
      </c>
      <c r="F2691">
        <v>4</v>
      </c>
      <c r="G2691" t="s">
        <v>1044</v>
      </c>
      <c r="H2691">
        <f>_xlfn.XLOOKUP(D2691, productos!$A$2:$A$150, productos!$D$2:$D$150, "No Encontrado", 0)</f>
        <v>15.23</v>
      </c>
      <c r="I2691">
        <f t="shared" ref="I2691:I2754" si="42">E2691*H2691</f>
        <v>91.38</v>
      </c>
    </row>
    <row r="2692" spans="1:9" x14ac:dyDescent="0.25">
      <c r="A2692">
        <v>1623</v>
      </c>
      <c r="B2692" s="1">
        <v>45615</v>
      </c>
      <c r="C2692">
        <v>315</v>
      </c>
      <c r="D2692">
        <v>14</v>
      </c>
      <c r="E2692">
        <v>4</v>
      </c>
      <c r="F2692">
        <v>4</v>
      </c>
      <c r="G2692" t="s">
        <v>1044</v>
      </c>
      <c r="H2692">
        <f>_xlfn.XLOOKUP(D2692, productos!$A$2:$A$150, productos!$D$2:$D$150, "No Encontrado", 0)</f>
        <v>12.36</v>
      </c>
      <c r="I2692">
        <f t="shared" si="42"/>
        <v>49.44</v>
      </c>
    </row>
    <row r="2693" spans="1:9" x14ac:dyDescent="0.25">
      <c r="A2693">
        <v>2006</v>
      </c>
      <c r="B2693" s="1">
        <v>45615</v>
      </c>
      <c r="C2693">
        <v>152</v>
      </c>
      <c r="D2693">
        <v>33</v>
      </c>
      <c r="E2693">
        <v>3</v>
      </c>
      <c r="F2693">
        <v>4</v>
      </c>
      <c r="G2693" t="s">
        <v>1044</v>
      </c>
      <c r="H2693">
        <f>_xlfn.XLOOKUP(D2693, productos!$A$2:$A$150, productos!$D$2:$D$150, "No Encontrado", 0)</f>
        <v>8.5399999999999991</v>
      </c>
      <c r="I2693">
        <f t="shared" si="42"/>
        <v>25.619999999999997</v>
      </c>
    </row>
    <row r="2694" spans="1:9" x14ac:dyDescent="0.25">
      <c r="A2694">
        <v>2428</v>
      </c>
      <c r="B2694" s="1">
        <v>45615</v>
      </c>
      <c r="C2694">
        <v>319</v>
      </c>
      <c r="D2694">
        <v>5</v>
      </c>
      <c r="E2694">
        <v>1</v>
      </c>
      <c r="F2694">
        <v>1</v>
      </c>
      <c r="G2694" t="s">
        <v>1045</v>
      </c>
      <c r="H2694">
        <f>_xlfn.XLOOKUP(D2694, productos!$A$2:$A$150, productos!$D$2:$D$150, "No Encontrado", 0)</f>
        <v>5.65</v>
      </c>
      <c r="I2694">
        <f t="shared" si="42"/>
        <v>5.65</v>
      </c>
    </row>
    <row r="2695" spans="1:9" x14ac:dyDescent="0.25">
      <c r="A2695">
        <v>2813</v>
      </c>
      <c r="B2695" s="1">
        <v>45615</v>
      </c>
      <c r="C2695">
        <v>264</v>
      </c>
      <c r="D2695">
        <v>10</v>
      </c>
      <c r="E2695">
        <v>2</v>
      </c>
      <c r="F2695">
        <v>4</v>
      </c>
      <c r="G2695" t="s">
        <v>1044</v>
      </c>
      <c r="H2695">
        <f>_xlfn.XLOOKUP(D2695, productos!$A$2:$A$150, productos!$D$2:$D$150, "No Encontrado", 0)</f>
        <v>14.25</v>
      </c>
      <c r="I2695">
        <f t="shared" si="42"/>
        <v>28.5</v>
      </c>
    </row>
    <row r="2696" spans="1:9" x14ac:dyDescent="0.25">
      <c r="A2696">
        <v>718</v>
      </c>
      <c r="B2696" s="1">
        <v>45616</v>
      </c>
      <c r="C2696">
        <v>292</v>
      </c>
      <c r="D2696">
        <v>17</v>
      </c>
      <c r="E2696">
        <v>1</v>
      </c>
      <c r="F2696">
        <v>1</v>
      </c>
      <c r="G2696" t="s">
        <v>1044</v>
      </c>
      <c r="H2696">
        <f>_xlfn.XLOOKUP(D2696, productos!$A$2:$A$150, productos!$D$2:$D$150, "No Encontrado", 0)</f>
        <v>6.54</v>
      </c>
      <c r="I2696">
        <f t="shared" si="42"/>
        <v>6.54</v>
      </c>
    </row>
    <row r="2697" spans="1:9" x14ac:dyDescent="0.25">
      <c r="A2697">
        <v>731</v>
      </c>
      <c r="B2697" s="1">
        <v>45616</v>
      </c>
      <c r="C2697">
        <v>314</v>
      </c>
      <c r="D2697">
        <v>20</v>
      </c>
      <c r="E2697">
        <v>2</v>
      </c>
      <c r="F2697">
        <v>2</v>
      </c>
      <c r="G2697" t="s">
        <v>1044</v>
      </c>
      <c r="H2697">
        <f>_xlfn.XLOOKUP(D2697, productos!$A$2:$A$150, productos!$D$2:$D$150, "No Encontrado", 0)</f>
        <v>4.25</v>
      </c>
      <c r="I2697">
        <f t="shared" si="42"/>
        <v>8.5</v>
      </c>
    </row>
    <row r="2698" spans="1:9" x14ac:dyDescent="0.25">
      <c r="A2698">
        <v>907</v>
      </c>
      <c r="B2698" s="1">
        <v>45616</v>
      </c>
      <c r="C2698">
        <v>68</v>
      </c>
      <c r="D2698">
        <v>35</v>
      </c>
      <c r="E2698">
        <v>3</v>
      </c>
      <c r="F2698">
        <v>4</v>
      </c>
      <c r="G2698" t="s">
        <v>1044</v>
      </c>
      <c r="H2698">
        <f>_xlfn.XLOOKUP(D2698, productos!$A$2:$A$150, productos!$D$2:$D$150, "No Encontrado", 0)</f>
        <v>4.25</v>
      </c>
      <c r="I2698">
        <f t="shared" si="42"/>
        <v>12.75</v>
      </c>
    </row>
    <row r="2699" spans="1:9" x14ac:dyDescent="0.25">
      <c r="A2699">
        <v>2000</v>
      </c>
      <c r="B2699" s="1">
        <v>45616</v>
      </c>
      <c r="C2699">
        <v>151</v>
      </c>
      <c r="D2699">
        <v>9</v>
      </c>
      <c r="E2699">
        <v>3</v>
      </c>
      <c r="F2699">
        <v>3</v>
      </c>
      <c r="G2699" t="s">
        <v>1044</v>
      </c>
      <c r="H2699">
        <f>_xlfn.XLOOKUP(D2699, productos!$A$2:$A$150, productos!$D$2:$D$150, "No Encontrado", 0)</f>
        <v>18.559999999999999</v>
      </c>
      <c r="I2699">
        <f t="shared" si="42"/>
        <v>55.679999999999993</v>
      </c>
    </row>
    <row r="2700" spans="1:9" x14ac:dyDescent="0.25">
      <c r="A2700">
        <v>2431</v>
      </c>
      <c r="B2700" s="1">
        <v>45616</v>
      </c>
      <c r="C2700">
        <v>31</v>
      </c>
      <c r="D2700">
        <v>26</v>
      </c>
      <c r="E2700">
        <v>5</v>
      </c>
      <c r="F2700">
        <v>2</v>
      </c>
      <c r="G2700" t="s">
        <v>1044</v>
      </c>
      <c r="H2700">
        <f>_xlfn.XLOOKUP(D2700, productos!$A$2:$A$150, productos!$D$2:$D$150, "No Encontrado", 0)</f>
        <v>9.5399999999999991</v>
      </c>
      <c r="I2700">
        <f t="shared" si="42"/>
        <v>47.699999999999996</v>
      </c>
    </row>
    <row r="2701" spans="1:9" x14ac:dyDescent="0.25">
      <c r="A2701">
        <v>2535</v>
      </c>
      <c r="B2701" s="1">
        <v>45616</v>
      </c>
      <c r="C2701">
        <v>118</v>
      </c>
      <c r="D2701">
        <v>29</v>
      </c>
      <c r="E2701">
        <v>2</v>
      </c>
      <c r="F2701">
        <v>3</v>
      </c>
      <c r="G2701" t="s">
        <v>1044</v>
      </c>
      <c r="H2701">
        <f>_xlfn.XLOOKUP(D2701, productos!$A$2:$A$150, productos!$D$2:$D$150, "No Encontrado", 0)</f>
        <v>11.54</v>
      </c>
      <c r="I2701">
        <f t="shared" si="42"/>
        <v>23.08</v>
      </c>
    </row>
    <row r="2702" spans="1:9" x14ac:dyDescent="0.25">
      <c r="A2702">
        <v>2637</v>
      </c>
      <c r="B2702" s="1">
        <v>45616</v>
      </c>
      <c r="C2702">
        <v>316</v>
      </c>
      <c r="D2702">
        <v>26</v>
      </c>
      <c r="E2702">
        <v>1</v>
      </c>
      <c r="F2702">
        <v>1</v>
      </c>
      <c r="G2702" t="s">
        <v>1044</v>
      </c>
      <c r="H2702">
        <f>_xlfn.XLOOKUP(D2702, productos!$A$2:$A$150, productos!$D$2:$D$150, "No Encontrado", 0)</f>
        <v>9.5399999999999991</v>
      </c>
      <c r="I2702">
        <f t="shared" si="42"/>
        <v>9.5399999999999991</v>
      </c>
    </row>
    <row r="2703" spans="1:9" x14ac:dyDescent="0.25">
      <c r="A2703">
        <v>662</v>
      </c>
      <c r="B2703" s="1">
        <v>45617</v>
      </c>
      <c r="C2703">
        <v>214</v>
      </c>
      <c r="D2703">
        <v>34</v>
      </c>
      <c r="E2703">
        <v>5</v>
      </c>
      <c r="F2703">
        <v>5</v>
      </c>
      <c r="G2703" t="s">
        <v>1044</v>
      </c>
      <c r="H2703">
        <f>_xlfn.XLOOKUP(D2703, productos!$A$2:$A$150, productos!$D$2:$D$150, "No Encontrado", 0)</f>
        <v>5.45</v>
      </c>
      <c r="I2703">
        <f t="shared" si="42"/>
        <v>27.25</v>
      </c>
    </row>
    <row r="2704" spans="1:9" x14ac:dyDescent="0.25">
      <c r="A2704">
        <v>797</v>
      </c>
      <c r="B2704" s="1">
        <v>45617</v>
      </c>
      <c r="C2704">
        <v>267</v>
      </c>
      <c r="D2704">
        <v>1</v>
      </c>
      <c r="E2704">
        <v>2</v>
      </c>
      <c r="F2704">
        <v>5</v>
      </c>
      <c r="G2704" t="s">
        <v>1044</v>
      </c>
      <c r="H2704">
        <f>_xlfn.XLOOKUP(D2704, productos!$A$2:$A$150, productos!$D$2:$D$150, "No Encontrado", 0)</f>
        <v>12.24</v>
      </c>
      <c r="I2704">
        <f t="shared" si="42"/>
        <v>24.48</v>
      </c>
    </row>
    <row r="2705" spans="1:9" x14ac:dyDescent="0.25">
      <c r="A2705">
        <v>879</v>
      </c>
      <c r="B2705" s="1">
        <v>45617</v>
      </c>
      <c r="C2705">
        <v>110</v>
      </c>
      <c r="D2705">
        <v>24</v>
      </c>
      <c r="E2705">
        <v>4</v>
      </c>
      <c r="F2705">
        <v>5</v>
      </c>
      <c r="G2705" t="s">
        <v>1044</v>
      </c>
      <c r="H2705">
        <f>_xlfn.XLOOKUP(D2705, productos!$A$2:$A$150, productos!$D$2:$D$150, "No Encontrado", 0)</f>
        <v>13.54</v>
      </c>
      <c r="I2705">
        <f t="shared" si="42"/>
        <v>54.16</v>
      </c>
    </row>
    <row r="2706" spans="1:9" x14ac:dyDescent="0.25">
      <c r="A2706">
        <v>885</v>
      </c>
      <c r="B2706" s="1">
        <v>45617</v>
      </c>
      <c r="C2706">
        <v>72</v>
      </c>
      <c r="D2706">
        <v>26</v>
      </c>
      <c r="E2706">
        <v>3</v>
      </c>
      <c r="F2706">
        <v>5</v>
      </c>
      <c r="G2706" t="s">
        <v>1044</v>
      </c>
      <c r="H2706">
        <f>_xlfn.XLOOKUP(D2706, productos!$A$2:$A$150, productos!$D$2:$D$150, "No Encontrado", 0)</f>
        <v>9.5399999999999991</v>
      </c>
      <c r="I2706">
        <f t="shared" si="42"/>
        <v>28.619999999999997</v>
      </c>
    </row>
    <row r="2707" spans="1:9" x14ac:dyDescent="0.25">
      <c r="A2707">
        <v>1173</v>
      </c>
      <c r="B2707" s="1">
        <v>45617</v>
      </c>
      <c r="C2707">
        <v>193</v>
      </c>
      <c r="D2707">
        <v>11</v>
      </c>
      <c r="E2707">
        <v>6</v>
      </c>
      <c r="F2707">
        <v>4</v>
      </c>
      <c r="G2707" t="s">
        <v>1045</v>
      </c>
      <c r="H2707">
        <f>_xlfn.XLOOKUP(D2707, productos!$A$2:$A$150, productos!$D$2:$D$150, "No Encontrado", 0)</f>
        <v>11.23</v>
      </c>
      <c r="I2707">
        <f t="shared" si="42"/>
        <v>67.38</v>
      </c>
    </row>
    <row r="2708" spans="1:9" x14ac:dyDescent="0.25">
      <c r="A2708">
        <v>1554</v>
      </c>
      <c r="B2708" s="1">
        <v>45617</v>
      </c>
      <c r="C2708">
        <v>212</v>
      </c>
      <c r="D2708">
        <v>33</v>
      </c>
      <c r="E2708">
        <v>1</v>
      </c>
      <c r="F2708">
        <v>1</v>
      </c>
      <c r="G2708" t="s">
        <v>1044</v>
      </c>
      <c r="H2708">
        <f>_xlfn.XLOOKUP(D2708, productos!$A$2:$A$150, productos!$D$2:$D$150, "No Encontrado", 0)</f>
        <v>8.5399999999999991</v>
      </c>
      <c r="I2708">
        <f t="shared" si="42"/>
        <v>8.5399999999999991</v>
      </c>
    </row>
    <row r="2709" spans="1:9" x14ac:dyDescent="0.25">
      <c r="A2709">
        <v>1815</v>
      </c>
      <c r="B2709" s="1">
        <v>45617</v>
      </c>
      <c r="C2709">
        <v>93</v>
      </c>
      <c r="D2709">
        <v>1</v>
      </c>
      <c r="E2709">
        <v>4</v>
      </c>
      <c r="F2709">
        <v>3</v>
      </c>
      <c r="G2709" t="s">
        <v>1045</v>
      </c>
      <c r="H2709">
        <f>_xlfn.XLOOKUP(D2709, productos!$A$2:$A$150, productos!$D$2:$D$150, "No Encontrado", 0)</f>
        <v>12.24</v>
      </c>
      <c r="I2709">
        <f t="shared" si="42"/>
        <v>48.96</v>
      </c>
    </row>
    <row r="2710" spans="1:9" x14ac:dyDescent="0.25">
      <c r="A2710">
        <v>2001</v>
      </c>
      <c r="B2710" s="1">
        <v>45617</v>
      </c>
      <c r="C2710">
        <v>271</v>
      </c>
      <c r="D2710">
        <v>6</v>
      </c>
      <c r="E2710">
        <v>1</v>
      </c>
      <c r="F2710">
        <v>4</v>
      </c>
      <c r="G2710" t="s">
        <v>1044</v>
      </c>
      <c r="H2710">
        <f>_xlfn.XLOOKUP(D2710, productos!$A$2:$A$150, productos!$D$2:$D$150, "No Encontrado", 0)</f>
        <v>28.56</v>
      </c>
      <c r="I2710">
        <f t="shared" si="42"/>
        <v>28.56</v>
      </c>
    </row>
    <row r="2711" spans="1:9" x14ac:dyDescent="0.25">
      <c r="A2711">
        <v>2079</v>
      </c>
      <c r="B2711" s="1">
        <v>45617</v>
      </c>
      <c r="C2711">
        <v>11</v>
      </c>
      <c r="D2711">
        <v>11</v>
      </c>
      <c r="E2711">
        <v>5</v>
      </c>
      <c r="F2711">
        <v>2</v>
      </c>
      <c r="G2711" t="s">
        <v>1045</v>
      </c>
      <c r="H2711">
        <f>_xlfn.XLOOKUP(D2711, productos!$A$2:$A$150, productos!$D$2:$D$150, "No Encontrado", 0)</f>
        <v>11.23</v>
      </c>
      <c r="I2711">
        <f t="shared" si="42"/>
        <v>56.150000000000006</v>
      </c>
    </row>
    <row r="2712" spans="1:9" x14ac:dyDescent="0.25">
      <c r="A2712">
        <v>2100</v>
      </c>
      <c r="B2712" s="1">
        <v>45617</v>
      </c>
      <c r="C2712">
        <v>260</v>
      </c>
      <c r="D2712">
        <v>24</v>
      </c>
      <c r="E2712">
        <v>6</v>
      </c>
      <c r="F2712">
        <v>2</v>
      </c>
      <c r="G2712" t="s">
        <v>1045</v>
      </c>
      <c r="H2712">
        <f>_xlfn.XLOOKUP(D2712, productos!$A$2:$A$150, productos!$D$2:$D$150, "No Encontrado", 0)</f>
        <v>13.54</v>
      </c>
      <c r="I2712">
        <f t="shared" si="42"/>
        <v>81.239999999999995</v>
      </c>
    </row>
    <row r="2713" spans="1:9" x14ac:dyDescent="0.25">
      <c r="A2713">
        <v>2619</v>
      </c>
      <c r="B2713" s="1">
        <v>45617</v>
      </c>
      <c r="C2713">
        <v>209</v>
      </c>
      <c r="D2713">
        <v>14</v>
      </c>
      <c r="E2713">
        <v>4</v>
      </c>
      <c r="F2713">
        <v>1</v>
      </c>
      <c r="G2713" t="s">
        <v>1044</v>
      </c>
      <c r="H2713">
        <f>_xlfn.XLOOKUP(D2713, productos!$A$2:$A$150, productos!$D$2:$D$150, "No Encontrado", 0)</f>
        <v>12.36</v>
      </c>
      <c r="I2713">
        <f t="shared" si="42"/>
        <v>49.44</v>
      </c>
    </row>
    <row r="2714" spans="1:9" x14ac:dyDescent="0.25">
      <c r="A2714">
        <v>846</v>
      </c>
      <c r="B2714" s="1">
        <v>45618</v>
      </c>
      <c r="C2714">
        <v>266</v>
      </c>
      <c r="D2714">
        <v>1</v>
      </c>
      <c r="E2714">
        <v>4</v>
      </c>
      <c r="F2714">
        <v>1</v>
      </c>
      <c r="G2714" t="s">
        <v>1044</v>
      </c>
      <c r="H2714">
        <f>_xlfn.XLOOKUP(D2714, productos!$A$2:$A$150, productos!$D$2:$D$150, "No Encontrado", 0)</f>
        <v>12.24</v>
      </c>
      <c r="I2714">
        <f t="shared" si="42"/>
        <v>48.96</v>
      </c>
    </row>
    <row r="2715" spans="1:9" x14ac:dyDescent="0.25">
      <c r="A2715">
        <v>1296</v>
      </c>
      <c r="B2715" s="1">
        <v>45618</v>
      </c>
      <c r="C2715">
        <v>174</v>
      </c>
      <c r="D2715">
        <v>12</v>
      </c>
      <c r="E2715">
        <v>5</v>
      </c>
      <c r="F2715">
        <v>3</v>
      </c>
      <c r="G2715" t="s">
        <v>1045</v>
      </c>
      <c r="H2715">
        <f>_xlfn.XLOOKUP(D2715, productos!$A$2:$A$150, productos!$D$2:$D$150, "No Encontrado", 0)</f>
        <v>8.1199999999999992</v>
      </c>
      <c r="I2715">
        <f t="shared" si="42"/>
        <v>40.599999999999994</v>
      </c>
    </row>
    <row r="2716" spans="1:9" x14ac:dyDescent="0.25">
      <c r="A2716">
        <v>2125</v>
      </c>
      <c r="B2716" s="1">
        <v>45618</v>
      </c>
      <c r="C2716">
        <v>231</v>
      </c>
      <c r="D2716">
        <v>5</v>
      </c>
      <c r="E2716">
        <v>5</v>
      </c>
      <c r="F2716">
        <v>5</v>
      </c>
      <c r="G2716" t="s">
        <v>1044</v>
      </c>
      <c r="H2716">
        <f>_xlfn.XLOOKUP(D2716, productos!$A$2:$A$150, productos!$D$2:$D$150, "No Encontrado", 0)</f>
        <v>5.65</v>
      </c>
      <c r="I2716">
        <f t="shared" si="42"/>
        <v>28.25</v>
      </c>
    </row>
    <row r="2717" spans="1:9" x14ac:dyDescent="0.25">
      <c r="A2717">
        <v>2347</v>
      </c>
      <c r="B2717" s="1">
        <v>45618</v>
      </c>
      <c r="C2717">
        <v>122</v>
      </c>
      <c r="D2717">
        <v>23</v>
      </c>
      <c r="E2717">
        <v>2</v>
      </c>
      <c r="F2717">
        <v>5</v>
      </c>
      <c r="G2717" t="s">
        <v>1044</v>
      </c>
      <c r="H2717">
        <f>_xlfn.XLOOKUP(D2717, productos!$A$2:$A$150, productos!$D$2:$D$150, "No Encontrado", 0)</f>
        <v>8.23</v>
      </c>
      <c r="I2717">
        <f t="shared" si="42"/>
        <v>16.46</v>
      </c>
    </row>
    <row r="2718" spans="1:9" x14ac:dyDescent="0.25">
      <c r="A2718">
        <v>341</v>
      </c>
      <c r="B2718" s="1">
        <v>45619</v>
      </c>
      <c r="C2718">
        <v>315</v>
      </c>
      <c r="D2718">
        <v>5</v>
      </c>
      <c r="E2718">
        <v>4</v>
      </c>
      <c r="F2718">
        <v>2</v>
      </c>
      <c r="G2718" t="s">
        <v>1044</v>
      </c>
      <c r="H2718">
        <f>_xlfn.XLOOKUP(D2718, productos!$A$2:$A$150, productos!$D$2:$D$150, "No Encontrado", 0)</f>
        <v>5.65</v>
      </c>
      <c r="I2718">
        <f t="shared" si="42"/>
        <v>22.6</v>
      </c>
    </row>
    <row r="2719" spans="1:9" x14ac:dyDescent="0.25">
      <c r="A2719">
        <v>1178</v>
      </c>
      <c r="B2719" s="1">
        <v>45619</v>
      </c>
      <c r="C2719">
        <v>249</v>
      </c>
      <c r="D2719">
        <v>32</v>
      </c>
      <c r="E2719">
        <v>1</v>
      </c>
      <c r="F2719">
        <v>5</v>
      </c>
      <c r="G2719" t="s">
        <v>1045</v>
      </c>
      <c r="H2719">
        <f>_xlfn.XLOOKUP(D2719, productos!$A$2:$A$150, productos!$D$2:$D$150, "No Encontrado", 0)</f>
        <v>6.25</v>
      </c>
      <c r="I2719">
        <f t="shared" si="42"/>
        <v>6.25</v>
      </c>
    </row>
    <row r="2720" spans="1:9" x14ac:dyDescent="0.25">
      <c r="A2720">
        <v>1378</v>
      </c>
      <c r="B2720" s="1">
        <v>45619</v>
      </c>
      <c r="C2720">
        <v>95</v>
      </c>
      <c r="D2720">
        <v>5</v>
      </c>
      <c r="E2720">
        <v>3</v>
      </c>
      <c r="F2720">
        <v>5</v>
      </c>
      <c r="G2720" t="s">
        <v>1044</v>
      </c>
      <c r="H2720">
        <f>_xlfn.XLOOKUP(D2720, productos!$A$2:$A$150, productos!$D$2:$D$150, "No Encontrado", 0)</f>
        <v>5.65</v>
      </c>
      <c r="I2720">
        <f t="shared" si="42"/>
        <v>16.950000000000003</v>
      </c>
    </row>
    <row r="2721" spans="1:9" x14ac:dyDescent="0.25">
      <c r="A2721">
        <v>1428</v>
      </c>
      <c r="B2721" s="1">
        <v>45619</v>
      </c>
      <c r="C2721">
        <v>266</v>
      </c>
      <c r="D2721">
        <v>37</v>
      </c>
      <c r="E2721">
        <v>2</v>
      </c>
      <c r="F2721">
        <v>1</v>
      </c>
      <c r="G2721" t="s">
        <v>1044</v>
      </c>
      <c r="H2721">
        <f>_xlfn.XLOOKUP(D2721, productos!$A$2:$A$150, productos!$D$2:$D$150, "No Encontrado", 0)</f>
        <v>3.65</v>
      </c>
      <c r="I2721">
        <f t="shared" si="42"/>
        <v>7.3</v>
      </c>
    </row>
    <row r="2722" spans="1:9" x14ac:dyDescent="0.25">
      <c r="A2722">
        <v>1578</v>
      </c>
      <c r="B2722" s="1">
        <v>45619</v>
      </c>
      <c r="C2722">
        <v>283</v>
      </c>
      <c r="D2722">
        <v>27</v>
      </c>
      <c r="E2722">
        <v>3</v>
      </c>
      <c r="F2722">
        <v>3</v>
      </c>
      <c r="G2722" t="s">
        <v>1044</v>
      </c>
      <c r="H2722">
        <f>_xlfn.XLOOKUP(D2722, productos!$A$2:$A$150, productos!$D$2:$D$150, "No Encontrado", 0)</f>
        <v>6.21</v>
      </c>
      <c r="I2722">
        <f t="shared" si="42"/>
        <v>18.63</v>
      </c>
    </row>
    <row r="2723" spans="1:9" x14ac:dyDescent="0.25">
      <c r="A2723">
        <v>1630</v>
      </c>
      <c r="B2723" s="1">
        <v>45619</v>
      </c>
      <c r="C2723">
        <v>317</v>
      </c>
      <c r="D2723">
        <v>7</v>
      </c>
      <c r="E2723">
        <v>1</v>
      </c>
      <c r="F2723">
        <v>1</v>
      </c>
      <c r="G2723" t="s">
        <v>1044</v>
      </c>
      <c r="H2723">
        <f>_xlfn.XLOOKUP(D2723, productos!$A$2:$A$150, productos!$D$2:$D$150, "No Encontrado", 0)</f>
        <v>11.25</v>
      </c>
      <c r="I2723">
        <f t="shared" si="42"/>
        <v>11.25</v>
      </c>
    </row>
    <row r="2724" spans="1:9" x14ac:dyDescent="0.25">
      <c r="A2724">
        <v>1413</v>
      </c>
      <c r="B2724" s="1">
        <v>45620</v>
      </c>
      <c r="C2724">
        <v>175</v>
      </c>
      <c r="D2724">
        <v>8</v>
      </c>
      <c r="E2724">
        <v>5</v>
      </c>
      <c r="F2724">
        <v>1</v>
      </c>
      <c r="G2724" t="s">
        <v>1044</v>
      </c>
      <c r="H2724">
        <f>_xlfn.XLOOKUP(D2724, productos!$A$2:$A$150, productos!$D$2:$D$150, "No Encontrado", 0)</f>
        <v>16.21</v>
      </c>
      <c r="I2724">
        <f t="shared" si="42"/>
        <v>81.050000000000011</v>
      </c>
    </row>
    <row r="2725" spans="1:9" x14ac:dyDescent="0.25">
      <c r="A2725">
        <v>1697</v>
      </c>
      <c r="B2725" s="1">
        <v>45620</v>
      </c>
      <c r="C2725">
        <v>173</v>
      </c>
      <c r="D2725">
        <v>13</v>
      </c>
      <c r="E2725">
        <v>1</v>
      </c>
      <c r="F2725">
        <v>5</v>
      </c>
      <c r="G2725" t="s">
        <v>1045</v>
      </c>
      <c r="H2725">
        <f>_xlfn.XLOOKUP(D2725, productos!$A$2:$A$150, productos!$D$2:$D$150, "No Encontrado", 0)</f>
        <v>12.56</v>
      </c>
      <c r="I2725">
        <f t="shared" si="42"/>
        <v>12.56</v>
      </c>
    </row>
    <row r="2726" spans="1:9" x14ac:dyDescent="0.25">
      <c r="A2726">
        <v>1893</v>
      </c>
      <c r="B2726" s="1">
        <v>45620</v>
      </c>
      <c r="C2726">
        <v>245</v>
      </c>
      <c r="D2726">
        <v>38</v>
      </c>
      <c r="E2726">
        <v>4</v>
      </c>
      <c r="F2726">
        <v>5</v>
      </c>
      <c r="G2726" t="s">
        <v>1044</v>
      </c>
      <c r="H2726">
        <f>_xlfn.XLOOKUP(D2726, productos!$A$2:$A$150, productos!$D$2:$D$150, "No Encontrado", 0)</f>
        <v>6.21</v>
      </c>
      <c r="I2726">
        <f t="shared" si="42"/>
        <v>24.84</v>
      </c>
    </row>
    <row r="2727" spans="1:9" x14ac:dyDescent="0.25">
      <c r="A2727">
        <v>1953</v>
      </c>
      <c r="B2727" s="1">
        <v>45620</v>
      </c>
      <c r="C2727">
        <v>71</v>
      </c>
      <c r="D2727">
        <v>32</v>
      </c>
      <c r="E2727">
        <v>1</v>
      </c>
      <c r="F2727">
        <v>5</v>
      </c>
      <c r="G2727" t="s">
        <v>1044</v>
      </c>
      <c r="H2727">
        <f>_xlfn.XLOOKUP(D2727, productos!$A$2:$A$150, productos!$D$2:$D$150, "No Encontrado", 0)</f>
        <v>6.25</v>
      </c>
      <c r="I2727">
        <f t="shared" si="42"/>
        <v>6.25</v>
      </c>
    </row>
    <row r="2728" spans="1:9" x14ac:dyDescent="0.25">
      <c r="A2728">
        <v>1958</v>
      </c>
      <c r="B2728" s="1">
        <v>45620</v>
      </c>
      <c r="C2728">
        <v>310</v>
      </c>
      <c r="D2728">
        <v>23</v>
      </c>
      <c r="E2728">
        <v>5</v>
      </c>
      <c r="F2728">
        <v>4</v>
      </c>
      <c r="G2728" t="s">
        <v>1044</v>
      </c>
      <c r="H2728">
        <f>_xlfn.XLOOKUP(D2728, productos!$A$2:$A$150, productos!$D$2:$D$150, "No Encontrado", 0)</f>
        <v>8.23</v>
      </c>
      <c r="I2728">
        <f t="shared" si="42"/>
        <v>41.150000000000006</v>
      </c>
    </row>
    <row r="2729" spans="1:9" x14ac:dyDescent="0.25">
      <c r="A2729">
        <v>2307</v>
      </c>
      <c r="B2729" s="1">
        <v>45620</v>
      </c>
      <c r="C2729">
        <v>182</v>
      </c>
      <c r="D2729">
        <v>19</v>
      </c>
      <c r="E2729">
        <v>2</v>
      </c>
      <c r="F2729">
        <v>1</v>
      </c>
      <c r="G2729" t="s">
        <v>1044</v>
      </c>
      <c r="H2729">
        <f>_xlfn.XLOOKUP(D2729, productos!$A$2:$A$150, productos!$D$2:$D$150, "No Encontrado", 0)</f>
        <v>6.54</v>
      </c>
      <c r="I2729">
        <f t="shared" si="42"/>
        <v>13.08</v>
      </c>
    </row>
    <row r="2730" spans="1:9" x14ac:dyDescent="0.25">
      <c r="A2730">
        <v>2562</v>
      </c>
      <c r="B2730" s="1">
        <v>45620</v>
      </c>
      <c r="C2730">
        <v>79</v>
      </c>
      <c r="D2730">
        <v>36</v>
      </c>
      <c r="E2730">
        <v>6</v>
      </c>
      <c r="F2730">
        <v>1</v>
      </c>
      <c r="G2730" t="s">
        <v>1044</v>
      </c>
      <c r="H2730">
        <f>_xlfn.XLOOKUP(D2730, productos!$A$2:$A$150, productos!$D$2:$D$150, "No Encontrado", 0)</f>
        <v>3.25</v>
      </c>
      <c r="I2730">
        <f t="shared" si="42"/>
        <v>19.5</v>
      </c>
    </row>
    <row r="2731" spans="1:9" x14ac:dyDescent="0.25">
      <c r="A2731">
        <v>440</v>
      </c>
      <c r="B2731" s="1">
        <v>45621</v>
      </c>
      <c r="C2731">
        <v>269</v>
      </c>
      <c r="D2731">
        <v>30</v>
      </c>
      <c r="E2731">
        <v>1</v>
      </c>
      <c r="F2731">
        <v>3</v>
      </c>
      <c r="G2731" t="s">
        <v>1044</v>
      </c>
      <c r="H2731">
        <f>_xlfn.XLOOKUP(D2731, productos!$A$2:$A$150, productos!$D$2:$D$150, "No Encontrado", 0)</f>
        <v>13.54</v>
      </c>
      <c r="I2731">
        <f t="shared" si="42"/>
        <v>13.54</v>
      </c>
    </row>
    <row r="2732" spans="1:9" x14ac:dyDescent="0.25">
      <c r="A2732">
        <v>558</v>
      </c>
      <c r="B2732" s="1">
        <v>45621</v>
      </c>
      <c r="C2732">
        <v>33</v>
      </c>
      <c r="D2732">
        <v>26</v>
      </c>
      <c r="E2732">
        <v>5</v>
      </c>
      <c r="F2732">
        <v>1</v>
      </c>
      <c r="G2732" t="s">
        <v>1045</v>
      </c>
      <c r="H2732">
        <f>_xlfn.XLOOKUP(D2732, productos!$A$2:$A$150, productos!$D$2:$D$150, "No Encontrado", 0)</f>
        <v>9.5399999999999991</v>
      </c>
      <c r="I2732">
        <f t="shared" si="42"/>
        <v>47.699999999999996</v>
      </c>
    </row>
    <row r="2733" spans="1:9" x14ac:dyDescent="0.25">
      <c r="A2733">
        <v>704</v>
      </c>
      <c r="B2733" s="1">
        <v>45621</v>
      </c>
      <c r="C2733">
        <v>105</v>
      </c>
      <c r="D2733">
        <v>30</v>
      </c>
      <c r="E2733">
        <v>6</v>
      </c>
      <c r="F2733">
        <v>1</v>
      </c>
      <c r="G2733" t="s">
        <v>1044</v>
      </c>
      <c r="H2733">
        <f>_xlfn.XLOOKUP(D2733, productos!$A$2:$A$150, productos!$D$2:$D$150, "No Encontrado", 0)</f>
        <v>13.54</v>
      </c>
      <c r="I2733">
        <f t="shared" si="42"/>
        <v>81.239999999999995</v>
      </c>
    </row>
    <row r="2734" spans="1:9" x14ac:dyDescent="0.25">
      <c r="A2734">
        <v>874</v>
      </c>
      <c r="B2734" s="1">
        <v>45621</v>
      </c>
      <c r="C2734">
        <v>326</v>
      </c>
      <c r="D2734">
        <v>26</v>
      </c>
      <c r="E2734">
        <v>6</v>
      </c>
      <c r="F2734">
        <v>5</v>
      </c>
      <c r="G2734" t="s">
        <v>1045</v>
      </c>
      <c r="H2734">
        <f>_xlfn.XLOOKUP(D2734, productos!$A$2:$A$150, productos!$D$2:$D$150, "No Encontrado", 0)</f>
        <v>9.5399999999999991</v>
      </c>
      <c r="I2734">
        <f t="shared" si="42"/>
        <v>57.239999999999995</v>
      </c>
    </row>
    <row r="2735" spans="1:9" x14ac:dyDescent="0.25">
      <c r="A2735">
        <v>1150</v>
      </c>
      <c r="B2735" s="1">
        <v>45621</v>
      </c>
      <c r="C2735">
        <v>274</v>
      </c>
      <c r="D2735">
        <v>12</v>
      </c>
      <c r="E2735">
        <v>3</v>
      </c>
      <c r="F2735">
        <v>5</v>
      </c>
      <c r="G2735" t="s">
        <v>1045</v>
      </c>
      <c r="H2735">
        <f>_xlfn.XLOOKUP(D2735, productos!$A$2:$A$150, productos!$D$2:$D$150, "No Encontrado", 0)</f>
        <v>8.1199999999999992</v>
      </c>
      <c r="I2735">
        <f t="shared" si="42"/>
        <v>24.36</v>
      </c>
    </row>
    <row r="2736" spans="1:9" x14ac:dyDescent="0.25">
      <c r="A2736">
        <v>1251</v>
      </c>
      <c r="B2736" s="1">
        <v>45621</v>
      </c>
      <c r="C2736">
        <v>290</v>
      </c>
      <c r="D2736">
        <v>21</v>
      </c>
      <c r="E2736">
        <v>4</v>
      </c>
      <c r="F2736">
        <v>5</v>
      </c>
      <c r="G2736" t="s">
        <v>1044</v>
      </c>
      <c r="H2736">
        <f>_xlfn.XLOOKUP(D2736, productos!$A$2:$A$150, productos!$D$2:$D$150, "No Encontrado", 0)</f>
        <v>3.25</v>
      </c>
      <c r="I2736">
        <f t="shared" si="42"/>
        <v>13</v>
      </c>
    </row>
    <row r="2737" spans="1:9" x14ac:dyDescent="0.25">
      <c r="A2737">
        <v>1592</v>
      </c>
      <c r="B2737" s="1">
        <v>45621</v>
      </c>
      <c r="C2737">
        <v>27</v>
      </c>
      <c r="D2737">
        <v>9</v>
      </c>
      <c r="E2737">
        <v>6</v>
      </c>
      <c r="F2737">
        <v>5</v>
      </c>
      <c r="G2737" t="s">
        <v>1044</v>
      </c>
      <c r="H2737">
        <f>_xlfn.XLOOKUP(D2737, productos!$A$2:$A$150, productos!$D$2:$D$150, "No Encontrado", 0)</f>
        <v>18.559999999999999</v>
      </c>
      <c r="I2737">
        <f t="shared" si="42"/>
        <v>111.35999999999999</v>
      </c>
    </row>
    <row r="2738" spans="1:9" x14ac:dyDescent="0.25">
      <c r="A2738">
        <v>2694</v>
      </c>
      <c r="B2738" s="1">
        <v>45621</v>
      </c>
      <c r="C2738">
        <v>52</v>
      </c>
      <c r="D2738">
        <v>25</v>
      </c>
      <c r="E2738">
        <v>4</v>
      </c>
      <c r="F2738">
        <v>2</v>
      </c>
      <c r="G2738" t="s">
        <v>1044</v>
      </c>
      <c r="H2738">
        <f>_xlfn.XLOOKUP(D2738, productos!$A$2:$A$150, productos!$D$2:$D$150, "No Encontrado", 0)</f>
        <v>15.45</v>
      </c>
      <c r="I2738">
        <f t="shared" si="42"/>
        <v>61.8</v>
      </c>
    </row>
    <row r="2739" spans="1:9" x14ac:dyDescent="0.25">
      <c r="A2739">
        <v>2797</v>
      </c>
      <c r="B2739" s="1">
        <v>45621</v>
      </c>
      <c r="C2739">
        <v>10</v>
      </c>
      <c r="D2739">
        <v>17</v>
      </c>
      <c r="E2739">
        <v>2</v>
      </c>
      <c r="F2739">
        <v>4</v>
      </c>
      <c r="G2739" t="s">
        <v>1044</v>
      </c>
      <c r="H2739">
        <f>_xlfn.XLOOKUP(D2739, productos!$A$2:$A$150, productos!$D$2:$D$150, "No Encontrado", 0)</f>
        <v>6.54</v>
      </c>
      <c r="I2739">
        <f t="shared" si="42"/>
        <v>13.08</v>
      </c>
    </row>
    <row r="2740" spans="1:9" x14ac:dyDescent="0.25">
      <c r="A2740">
        <v>501</v>
      </c>
      <c r="B2740" s="1">
        <v>45622</v>
      </c>
      <c r="C2740">
        <v>317</v>
      </c>
      <c r="D2740">
        <v>35</v>
      </c>
      <c r="E2740">
        <v>5</v>
      </c>
      <c r="F2740">
        <v>4</v>
      </c>
      <c r="G2740" t="s">
        <v>1044</v>
      </c>
      <c r="H2740">
        <f>_xlfn.XLOOKUP(D2740, productos!$A$2:$A$150, productos!$D$2:$D$150, "No Encontrado", 0)</f>
        <v>4.25</v>
      </c>
      <c r="I2740">
        <f t="shared" si="42"/>
        <v>21.25</v>
      </c>
    </row>
    <row r="2741" spans="1:9" x14ac:dyDescent="0.25">
      <c r="A2741">
        <v>1105</v>
      </c>
      <c r="B2741" s="1">
        <v>45622</v>
      </c>
      <c r="C2741">
        <v>247</v>
      </c>
      <c r="D2741">
        <v>26</v>
      </c>
      <c r="E2741">
        <v>3</v>
      </c>
      <c r="F2741">
        <v>1</v>
      </c>
      <c r="G2741" t="s">
        <v>1044</v>
      </c>
      <c r="H2741">
        <f>_xlfn.XLOOKUP(D2741, productos!$A$2:$A$150, productos!$D$2:$D$150, "No Encontrado", 0)</f>
        <v>9.5399999999999991</v>
      </c>
      <c r="I2741">
        <f t="shared" si="42"/>
        <v>28.619999999999997</v>
      </c>
    </row>
    <row r="2742" spans="1:9" x14ac:dyDescent="0.25">
      <c r="A2742">
        <v>1637</v>
      </c>
      <c r="B2742" s="1">
        <v>45622</v>
      </c>
      <c r="C2742">
        <v>293</v>
      </c>
      <c r="D2742">
        <v>20</v>
      </c>
      <c r="E2742">
        <v>2</v>
      </c>
      <c r="F2742">
        <v>1</v>
      </c>
      <c r="G2742" t="s">
        <v>1044</v>
      </c>
      <c r="H2742">
        <f>_xlfn.XLOOKUP(D2742, productos!$A$2:$A$150, productos!$D$2:$D$150, "No Encontrado", 0)</f>
        <v>4.25</v>
      </c>
      <c r="I2742">
        <f t="shared" si="42"/>
        <v>8.5</v>
      </c>
    </row>
    <row r="2743" spans="1:9" x14ac:dyDescent="0.25">
      <c r="A2743">
        <v>1784</v>
      </c>
      <c r="B2743" s="1">
        <v>45622</v>
      </c>
      <c r="C2743">
        <v>179</v>
      </c>
      <c r="D2743">
        <v>30</v>
      </c>
      <c r="E2743">
        <v>6</v>
      </c>
      <c r="F2743">
        <v>4</v>
      </c>
      <c r="G2743" t="s">
        <v>1044</v>
      </c>
      <c r="H2743">
        <f>_xlfn.XLOOKUP(D2743, productos!$A$2:$A$150, productos!$D$2:$D$150, "No Encontrado", 0)</f>
        <v>13.54</v>
      </c>
      <c r="I2743">
        <f t="shared" si="42"/>
        <v>81.239999999999995</v>
      </c>
    </row>
    <row r="2744" spans="1:9" x14ac:dyDescent="0.25">
      <c r="A2744">
        <v>2698</v>
      </c>
      <c r="B2744" s="1">
        <v>45622</v>
      </c>
      <c r="C2744">
        <v>146</v>
      </c>
      <c r="D2744">
        <v>28</v>
      </c>
      <c r="E2744">
        <v>5</v>
      </c>
      <c r="F2744">
        <v>2</v>
      </c>
      <c r="G2744" t="s">
        <v>1044</v>
      </c>
      <c r="H2744">
        <f>_xlfn.XLOOKUP(D2744, productos!$A$2:$A$150, productos!$D$2:$D$150, "No Encontrado", 0)</f>
        <v>9.4499999999999993</v>
      </c>
      <c r="I2744">
        <f t="shared" si="42"/>
        <v>47.25</v>
      </c>
    </row>
    <row r="2745" spans="1:9" x14ac:dyDescent="0.25">
      <c r="A2745">
        <v>2871</v>
      </c>
      <c r="B2745" s="1">
        <v>45622</v>
      </c>
      <c r="C2745">
        <v>219</v>
      </c>
      <c r="D2745">
        <v>5</v>
      </c>
      <c r="E2745">
        <v>3</v>
      </c>
      <c r="F2745">
        <v>3</v>
      </c>
      <c r="G2745" t="s">
        <v>1044</v>
      </c>
      <c r="H2745">
        <f>_xlfn.XLOOKUP(D2745, productos!$A$2:$A$150, productos!$D$2:$D$150, "No Encontrado", 0)</f>
        <v>5.65</v>
      </c>
      <c r="I2745">
        <f t="shared" si="42"/>
        <v>16.950000000000003</v>
      </c>
    </row>
    <row r="2746" spans="1:9" x14ac:dyDescent="0.25">
      <c r="A2746">
        <v>2939</v>
      </c>
      <c r="B2746" s="1">
        <v>45622</v>
      </c>
      <c r="C2746">
        <v>279</v>
      </c>
      <c r="D2746">
        <v>34</v>
      </c>
      <c r="E2746">
        <v>1</v>
      </c>
      <c r="F2746">
        <v>5</v>
      </c>
      <c r="G2746" t="s">
        <v>1044</v>
      </c>
      <c r="H2746">
        <f>_xlfn.XLOOKUP(D2746, productos!$A$2:$A$150, productos!$D$2:$D$150, "No Encontrado", 0)</f>
        <v>5.45</v>
      </c>
      <c r="I2746">
        <f t="shared" si="42"/>
        <v>5.45</v>
      </c>
    </row>
    <row r="2747" spans="1:9" x14ac:dyDescent="0.25">
      <c r="A2747">
        <v>1566</v>
      </c>
      <c r="B2747" s="1">
        <v>45623</v>
      </c>
      <c r="C2747">
        <v>206</v>
      </c>
      <c r="D2747">
        <v>10</v>
      </c>
      <c r="E2747">
        <v>5</v>
      </c>
      <c r="F2747">
        <v>5</v>
      </c>
      <c r="G2747" t="s">
        <v>1045</v>
      </c>
      <c r="H2747">
        <f>_xlfn.XLOOKUP(D2747, productos!$A$2:$A$150, productos!$D$2:$D$150, "No Encontrado", 0)</f>
        <v>14.25</v>
      </c>
      <c r="I2747">
        <f t="shared" si="42"/>
        <v>71.25</v>
      </c>
    </row>
    <row r="2748" spans="1:9" x14ac:dyDescent="0.25">
      <c r="A2748">
        <v>2230</v>
      </c>
      <c r="B2748" s="1">
        <v>45623</v>
      </c>
      <c r="C2748">
        <v>24</v>
      </c>
      <c r="D2748">
        <v>18</v>
      </c>
      <c r="E2748">
        <v>2</v>
      </c>
      <c r="F2748">
        <v>4</v>
      </c>
      <c r="G2748" t="s">
        <v>1044</v>
      </c>
      <c r="H2748">
        <f>_xlfn.XLOOKUP(D2748, productos!$A$2:$A$150, productos!$D$2:$D$150, "No Encontrado", 0)</f>
        <v>7.25</v>
      </c>
      <c r="I2748">
        <f t="shared" si="42"/>
        <v>14.5</v>
      </c>
    </row>
    <row r="2749" spans="1:9" x14ac:dyDescent="0.25">
      <c r="A2749">
        <v>2464</v>
      </c>
      <c r="B2749" s="1">
        <v>45623</v>
      </c>
      <c r="C2749">
        <v>18</v>
      </c>
      <c r="D2749">
        <v>34</v>
      </c>
      <c r="E2749">
        <v>6</v>
      </c>
      <c r="F2749">
        <v>4</v>
      </c>
      <c r="G2749" t="s">
        <v>1044</v>
      </c>
      <c r="H2749">
        <f>_xlfn.XLOOKUP(D2749, productos!$A$2:$A$150, productos!$D$2:$D$150, "No Encontrado", 0)</f>
        <v>5.45</v>
      </c>
      <c r="I2749">
        <f t="shared" si="42"/>
        <v>32.700000000000003</v>
      </c>
    </row>
    <row r="2750" spans="1:9" x14ac:dyDescent="0.25">
      <c r="A2750">
        <v>2825</v>
      </c>
      <c r="B2750" s="1">
        <v>45623</v>
      </c>
      <c r="C2750">
        <v>207</v>
      </c>
      <c r="D2750">
        <v>30</v>
      </c>
      <c r="E2750">
        <v>2</v>
      </c>
      <c r="F2750">
        <v>4</v>
      </c>
      <c r="G2750" t="s">
        <v>1045</v>
      </c>
      <c r="H2750">
        <f>_xlfn.XLOOKUP(D2750, productos!$A$2:$A$150, productos!$D$2:$D$150, "No Encontrado", 0)</f>
        <v>13.54</v>
      </c>
      <c r="I2750">
        <f t="shared" si="42"/>
        <v>27.08</v>
      </c>
    </row>
    <row r="2751" spans="1:9" x14ac:dyDescent="0.25">
      <c r="A2751">
        <v>2998</v>
      </c>
      <c r="B2751" s="1">
        <v>45623</v>
      </c>
      <c r="C2751">
        <v>228</v>
      </c>
      <c r="D2751">
        <v>22</v>
      </c>
      <c r="E2751">
        <v>1</v>
      </c>
      <c r="F2751">
        <v>1</v>
      </c>
      <c r="G2751" t="s">
        <v>1044</v>
      </c>
      <c r="H2751">
        <f>_xlfn.XLOOKUP(D2751, productos!$A$2:$A$150, productos!$D$2:$D$150, "No Encontrado", 0)</f>
        <v>4.21</v>
      </c>
      <c r="I2751">
        <f t="shared" si="42"/>
        <v>4.21</v>
      </c>
    </row>
    <row r="2752" spans="1:9" x14ac:dyDescent="0.25">
      <c r="A2752">
        <v>942</v>
      </c>
      <c r="B2752" s="1">
        <v>45624</v>
      </c>
      <c r="C2752">
        <v>5</v>
      </c>
      <c r="D2752">
        <v>34</v>
      </c>
      <c r="E2752">
        <v>3</v>
      </c>
      <c r="F2752">
        <v>3</v>
      </c>
      <c r="G2752" t="s">
        <v>1044</v>
      </c>
      <c r="H2752">
        <f>_xlfn.XLOOKUP(D2752, productos!$A$2:$A$150, productos!$D$2:$D$150, "No Encontrado", 0)</f>
        <v>5.45</v>
      </c>
      <c r="I2752">
        <f t="shared" si="42"/>
        <v>16.350000000000001</v>
      </c>
    </row>
    <row r="2753" spans="1:9" x14ac:dyDescent="0.25">
      <c r="A2753">
        <v>1370</v>
      </c>
      <c r="B2753" s="1">
        <v>45624</v>
      </c>
      <c r="C2753">
        <v>250</v>
      </c>
      <c r="D2753">
        <v>1</v>
      </c>
      <c r="E2753">
        <v>4</v>
      </c>
      <c r="F2753">
        <v>5</v>
      </c>
      <c r="G2753" t="s">
        <v>1044</v>
      </c>
      <c r="H2753">
        <f>_xlfn.XLOOKUP(D2753, productos!$A$2:$A$150, productos!$D$2:$D$150, "No Encontrado", 0)</f>
        <v>12.24</v>
      </c>
      <c r="I2753">
        <f t="shared" si="42"/>
        <v>48.96</v>
      </c>
    </row>
    <row r="2754" spans="1:9" x14ac:dyDescent="0.25">
      <c r="A2754">
        <v>1521</v>
      </c>
      <c r="B2754" s="1">
        <v>45624</v>
      </c>
      <c r="C2754">
        <v>168</v>
      </c>
      <c r="D2754">
        <v>5</v>
      </c>
      <c r="E2754">
        <v>6</v>
      </c>
      <c r="F2754">
        <v>2</v>
      </c>
      <c r="G2754" t="s">
        <v>1044</v>
      </c>
      <c r="H2754">
        <f>_xlfn.XLOOKUP(D2754, productos!$A$2:$A$150, productos!$D$2:$D$150, "No Encontrado", 0)</f>
        <v>5.65</v>
      </c>
      <c r="I2754">
        <f t="shared" si="42"/>
        <v>33.900000000000006</v>
      </c>
    </row>
    <row r="2755" spans="1:9" x14ac:dyDescent="0.25">
      <c r="A2755">
        <v>1669</v>
      </c>
      <c r="B2755" s="1">
        <v>45624</v>
      </c>
      <c r="C2755">
        <v>93</v>
      </c>
      <c r="D2755">
        <v>7</v>
      </c>
      <c r="E2755">
        <v>6</v>
      </c>
      <c r="F2755">
        <v>4</v>
      </c>
      <c r="G2755" t="s">
        <v>1044</v>
      </c>
      <c r="H2755">
        <f>_xlfn.XLOOKUP(D2755, productos!$A$2:$A$150, productos!$D$2:$D$150, "No Encontrado", 0)</f>
        <v>11.25</v>
      </c>
      <c r="I2755">
        <f t="shared" ref="I2755:I2818" si="43">E2755*H2755</f>
        <v>67.5</v>
      </c>
    </row>
    <row r="2756" spans="1:9" x14ac:dyDescent="0.25">
      <c r="A2756">
        <v>2369</v>
      </c>
      <c r="B2756" s="1">
        <v>45624</v>
      </c>
      <c r="C2756">
        <v>283</v>
      </c>
      <c r="D2756">
        <v>34</v>
      </c>
      <c r="E2756">
        <v>3</v>
      </c>
      <c r="F2756">
        <v>4</v>
      </c>
      <c r="G2756" t="s">
        <v>1044</v>
      </c>
      <c r="H2756">
        <f>_xlfn.XLOOKUP(D2756, productos!$A$2:$A$150, productos!$D$2:$D$150, "No Encontrado", 0)</f>
        <v>5.45</v>
      </c>
      <c r="I2756">
        <f t="shared" si="43"/>
        <v>16.350000000000001</v>
      </c>
    </row>
    <row r="2757" spans="1:9" x14ac:dyDescent="0.25">
      <c r="A2757">
        <v>2410</v>
      </c>
      <c r="B2757" s="1">
        <v>45624</v>
      </c>
      <c r="C2757">
        <v>93</v>
      </c>
      <c r="D2757">
        <v>35</v>
      </c>
      <c r="E2757">
        <v>2</v>
      </c>
      <c r="F2757">
        <v>1</v>
      </c>
      <c r="G2757" t="s">
        <v>1045</v>
      </c>
      <c r="H2757">
        <f>_xlfn.XLOOKUP(D2757, productos!$A$2:$A$150, productos!$D$2:$D$150, "No Encontrado", 0)</f>
        <v>4.25</v>
      </c>
      <c r="I2757">
        <f t="shared" si="43"/>
        <v>8.5</v>
      </c>
    </row>
    <row r="2758" spans="1:9" x14ac:dyDescent="0.25">
      <c r="A2758">
        <v>2595</v>
      </c>
      <c r="B2758" s="1">
        <v>45624</v>
      </c>
      <c r="C2758">
        <v>196</v>
      </c>
      <c r="D2758">
        <v>32</v>
      </c>
      <c r="E2758">
        <v>5</v>
      </c>
      <c r="F2758">
        <v>4</v>
      </c>
      <c r="G2758" t="s">
        <v>1044</v>
      </c>
      <c r="H2758">
        <f>_xlfn.XLOOKUP(D2758, productos!$A$2:$A$150, productos!$D$2:$D$150, "No Encontrado", 0)</f>
        <v>6.25</v>
      </c>
      <c r="I2758">
        <f t="shared" si="43"/>
        <v>31.25</v>
      </c>
    </row>
    <row r="2759" spans="1:9" x14ac:dyDescent="0.25">
      <c r="A2759">
        <v>465</v>
      </c>
      <c r="B2759" s="1">
        <v>45625</v>
      </c>
      <c r="C2759">
        <v>93</v>
      </c>
      <c r="D2759">
        <v>30</v>
      </c>
      <c r="E2759">
        <v>6</v>
      </c>
      <c r="F2759">
        <v>3</v>
      </c>
      <c r="G2759" t="s">
        <v>1044</v>
      </c>
      <c r="H2759">
        <f>_xlfn.XLOOKUP(D2759, productos!$A$2:$A$150, productos!$D$2:$D$150, "No Encontrado", 0)</f>
        <v>13.54</v>
      </c>
      <c r="I2759">
        <f t="shared" si="43"/>
        <v>81.239999999999995</v>
      </c>
    </row>
    <row r="2760" spans="1:9" x14ac:dyDescent="0.25">
      <c r="A2760">
        <v>845</v>
      </c>
      <c r="B2760" s="1">
        <v>45625</v>
      </c>
      <c r="C2760">
        <v>318</v>
      </c>
      <c r="D2760">
        <v>32</v>
      </c>
      <c r="E2760">
        <v>4</v>
      </c>
      <c r="F2760">
        <v>5</v>
      </c>
      <c r="G2760" t="s">
        <v>1044</v>
      </c>
      <c r="H2760">
        <f>_xlfn.XLOOKUP(D2760, productos!$A$2:$A$150, productos!$D$2:$D$150, "No Encontrado", 0)</f>
        <v>6.25</v>
      </c>
      <c r="I2760">
        <f t="shared" si="43"/>
        <v>25</v>
      </c>
    </row>
    <row r="2761" spans="1:9" x14ac:dyDescent="0.25">
      <c r="A2761">
        <v>1170</v>
      </c>
      <c r="B2761" s="1">
        <v>45625</v>
      </c>
      <c r="C2761">
        <v>17</v>
      </c>
      <c r="D2761">
        <v>26</v>
      </c>
      <c r="E2761">
        <v>4</v>
      </c>
      <c r="F2761">
        <v>2</v>
      </c>
      <c r="G2761" t="s">
        <v>1044</v>
      </c>
      <c r="H2761">
        <f>_xlfn.XLOOKUP(D2761, productos!$A$2:$A$150, productos!$D$2:$D$150, "No Encontrado", 0)</f>
        <v>9.5399999999999991</v>
      </c>
      <c r="I2761">
        <f t="shared" si="43"/>
        <v>38.159999999999997</v>
      </c>
    </row>
    <row r="2762" spans="1:9" x14ac:dyDescent="0.25">
      <c r="A2762">
        <v>2129</v>
      </c>
      <c r="B2762" s="1">
        <v>45625</v>
      </c>
      <c r="C2762">
        <v>49</v>
      </c>
      <c r="D2762">
        <v>36</v>
      </c>
      <c r="E2762">
        <v>4</v>
      </c>
      <c r="F2762">
        <v>4</v>
      </c>
      <c r="G2762" t="s">
        <v>1044</v>
      </c>
      <c r="H2762">
        <f>_xlfn.XLOOKUP(D2762, productos!$A$2:$A$150, productos!$D$2:$D$150, "No Encontrado", 0)</f>
        <v>3.25</v>
      </c>
      <c r="I2762">
        <f t="shared" si="43"/>
        <v>13</v>
      </c>
    </row>
    <row r="2763" spans="1:9" x14ac:dyDescent="0.25">
      <c r="A2763">
        <v>2144</v>
      </c>
      <c r="B2763" s="1">
        <v>45625</v>
      </c>
      <c r="C2763">
        <v>281</v>
      </c>
      <c r="D2763">
        <v>24</v>
      </c>
      <c r="E2763">
        <v>4</v>
      </c>
      <c r="F2763">
        <v>4</v>
      </c>
      <c r="G2763" t="s">
        <v>1044</v>
      </c>
      <c r="H2763">
        <f>_xlfn.XLOOKUP(D2763, productos!$A$2:$A$150, productos!$D$2:$D$150, "No Encontrado", 0)</f>
        <v>13.54</v>
      </c>
      <c r="I2763">
        <f t="shared" si="43"/>
        <v>54.16</v>
      </c>
    </row>
    <row r="2764" spans="1:9" x14ac:dyDescent="0.25">
      <c r="A2764">
        <v>2754</v>
      </c>
      <c r="B2764" s="1">
        <v>45625</v>
      </c>
      <c r="C2764">
        <v>95</v>
      </c>
      <c r="D2764">
        <v>26</v>
      </c>
      <c r="E2764">
        <v>2</v>
      </c>
      <c r="F2764">
        <v>4</v>
      </c>
      <c r="G2764" t="s">
        <v>1044</v>
      </c>
      <c r="H2764">
        <f>_xlfn.XLOOKUP(D2764, productos!$A$2:$A$150, productos!$D$2:$D$150, "No Encontrado", 0)</f>
        <v>9.5399999999999991</v>
      </c>
      <c r="I2764">
        <f t="shared" si="43"/>
        <v>19.079999999999998</v>
      </c>
    </row>
    <row r="2765" spans="1:9" x14ac:dyDescent="0.25">
      <c r="A2765">
        <v>2842</v>
      </c>
      <c r="B2765" s="1">
        <v>45625</v>
      </c>
      <c r="C2765">
        <v>185</v>
      </c>
      <c r="D2765">
        <v>3</v>
      </c>
      <c r="E2765">
        <v>2</v>
      </c>
      <c r="F2765">
        <v>4</v>
      </c>
      <c r="G2765" t="s">
        <v>1044</v>
      </c>
      <c r="H2765">
        <f>_xlfn.XLOOKUP(D2765, productos!$A$2:$A$150, productos!$D$2:$D$150, "No Encontrado", 0)</f>
        <v>17.23</v>
      </c>
      <c r="I2765">
        <f t="shared" si="43"/>
        <v>34.46</v>
      </c>
    </row>
    <row r="2766" spans="1:9" x14ac:dyDescent="0.25">
      <c r="A2766">
        <v>2985</v>
      </c>
      <c r="B2766" s="1">
        <v>45625</v>
      </c>
      <c r="C2766">
        <v>186</v>
      </c>
      <c r="D2766">
        <v>17</v>
      </c>
      <c r="E2766">
        <v>2</v>
      </c>
      <c r="F2766">
        <v>4</v>
      </c>
      <c r="G2766" t="s">
        <v>1044</v>
      </c>
      <c r="H2766">
        <f>_xlfn.XLOOKUP(D2766, productos!$A$2:$A$150, productos!$D$2:$D$150, "No Encontrado", 0)</f>
        <v>6.54</v>
      </c>
      <c r="I2766">
        <f t="shared" si="43"/>
        <v>13.08</v>
      </c>
    </row>
    <row r="2767" spans="1:9" x14ac:dyDescent="0.25">
      <c r="A2767">
        <v>1694</v>
      </c>
      <c r="B2767" s="1">
        <v>45626</v>
      </c>
      <c r="C2767">
        <v>64</v>
      </c>
      <c r="D2767">
        <v>28</v>
      </c>
      <c r="E2767">
        <v>5</v>
      </c>
      <c r="F2767">
        <v>1</v>
      </c>
      <c r="G2767" t="s">
        <v>1044</v>
      </c>
      <c r="H2767">
        <f>_xlfn.XLOOKUP(D2767, productos!$A$2:$A$150, productos!$D$2:$D$150, "No Encontrado", 0)</f>
        <v>9.4499999999999993</v>
      </c>
      <c r="I2767">
        <f t="shared" si="43"/>
        <v>47.25</v>
      </c>
    </row>
    <row r="2768" spans="1:9" x14ac:dyDescent="0.25">
      <c r="A2768">
        <v>1811</v>
      </c>
      <c r="B2768" s="1">
        <v>45626</v>
      </c>
      <c r="C2768">
        <v>321</v>
      </c>
      <c r="D2768">
        <v>18</v>
      </c>
      <c r="E2768">
        <v>4</v>
      </c>
      <c r="F2768">
        <v>1</v>
      </c>
      <c r="G2768" t="s">
        <v>1044</v>
      </c>
      <c r="H2768">
        <f>_xlfn.XLOOKUP(D2768, productos!$A$2:$A$150, productos!$D$2:$D$150, "No Encontrado", 0)</f>
        <v>7.25</v>
      </c>
      <c r="I2768">
        <f t="shared" si="43"/>
        <v>29</v>
      </c>
    </row>
    <row r="2769" spans="1:9" x14ac:dyDescent="0.25">
      <c r="A2769">
        <v>2322</v>
      </c>
      <c r="B2769" s="1">
        <v>45626</v>
      </c>
      <c r="C2769">
        <v>63</v>
      </c>
      <c r="D2769">
        <v>7</v>
      </c>
      <c r="E2769">
        <v>6</v>
      </c>
      <c r="F2769">
        <v>4</v>
      </c>
      <c r="G2769" t="s">
        <v>1045</v>
      </c>
      <c r="H2769">
        <f>_xlfn.XLOOKUP(D2769, productos!$A$2:$A$150, productos!$D$2:$D$150, "No Encontrado", 0)</f>
        <v>11.25</v>
      </c>
      <c r="I2769">
        <f t="shared" si="43"/>
        <v>67.5</v>
      </c>
    </row>
    <row r="2770" spans="1:9" x14ac:dyDescent="0.25">
      <c r="A2770">
        <v>2353</v>
      </c>
      <c r="B2770" s="1">
        <v>45626</v>
      </c>
      <c r="C2770">
        <v>39</v>
      </c>
      <c r="D2770">
        <v>33</v>
      </c>
      <c r="E2770">
        <v>3</v>
      </c>
      <c r="F2770">
        <v>2</v>
      </c>
      <c r="G2770" t="s">
        <v>1044</v>
      </c>
      <c r="H2770">
        <f>_xlfn.XLOOKUP(D2770, productos!$A$2:$A$150, productos!$D$2:$D$150, "No Encontrado", 0)</f>
        <v>8.5399999999999991</v>
      </c>
      <c r="I2770">
        <f t="shared" si="43"/>
        <v>25.619999999999997</v>
      </c>
    </row>
    <row r="2771" spans="1:9" x14ac:dyDescent="0.25">
      <c r="A2771">
        <v>2425</v>
      </c>
      <c r="B2771" s="1">
        <v>45626</v>
      </c>
      <c r="C2771">
        <v>132</v>
      </c>
      <c r="D2771">
        <v>24</v>
      </c>
      <c r="E2771">
        <v>2</v>
      </c>
      <c r="F2771">
        <v>4</v>
      </c>
      <c r="G2771" t="s">
        <v>1044</v>
      </c>
      <c r="H2771">
        <f>_xlfn.XLOOKUP(D2771, productos!$A$2:$A$150, productos!$D$2:$D$150, "No Encontrado", 0)</f>
        <v>13.54</v>
      </c>
      <c r="I2771">
        <f t="shared" si="43"/>
        <v>27.08</v>
      </c>
    </row>
    <row r="2772" spans="1:9" x14ac:dyDescent="0.25">
      <c r="A2772">
        <v>2764</v>
      </c>
      <c r="B2772" s="1">
        <v>45626</v>
      </c>
      <c r="C2772">
        <v>50</v>
      </c>
      <c r="D2772">
        <v>1</v>
      </c>
      <c r="E2772">
        <v>1</v>
      </c>
      <c r="F2772">
        <v>4</v>
      </c>
      <c r="G2772" t="s">
        <v>1045</v>
      </c>
      <c r="H2772">
        <f>_xlfn.XLOOKUP(D2772, productos!$A$2:$A$150, productos!$D$2:$D$150, "No Encontrado", 0)</f>
        <v>12.24</v>
      </c>
      <c r="I2772">
        <f t="shared" si="43"/>
        <v>12.24</v>
      </c>
    </row>
    <row r="2773" spans="1:9" x14ac:dyDescent="0.25">
      <c r="A2773">
        <v>2984</v>
      </c>
      <c r="B2773" s="1">
        <v>45626</v>
      </c>
      <c r="C2773">
        <v>95</v>
      </c>
      <c r="D2773">
        <v>36</v>
      </c>
      <c r="E2773">
        <v>3</v>
      </c>
      <c r="F2773">
        <v>5</v>
      </c>
      <c r="G2773" t="s">
        <v>1044</v>
      </c>
      <c r="H2773">
        <f>_xlfn.XLOOKUP(D2773, productos!$A$2:$A$150, productos!$D$2:$D$150, "No Encontrado", 0)</f>
        <v>3.25</v>
      </c>
      <c r="I2773">
        <f t="shared" si="43"/>
        <v>9.75</v>
      </c>
    </row>
    <row r="2774" spans="1:9" x14ac:dyDescent="0.25">
      <c r="A2774">
        <v>390</v>
      </c>
      <c r="B2774" s="1">
        <v>45627</v>
      </c>
      <c r="C2774">
        <v>74</v>
      </c>
      <c r="D2774">
        <v>26</v>
      </c>
      <c r="E2774">
        <v>4</v>
      </c>
      <c r="F2774">
        <v>4</v>
      </c>
      <c r="G2774" t="s">
        <v>1044</v>
      </c>
      <c r="H2774">
        <f>_xlfn.XLOOKUP(D2774, productos!$A$2:$A$150, productos!$D$2:$D$150, "No Encontrado", 0)</f>
        <v>9.5399999999999991</v>
      </c>
      <c r="I2774">
        <f t="shared" si="43"/>
        <v>38.159999999999997</v>
      </c>
    </row>
    <row r="2775" spans="1:9" x14ac:dyDescent="0.25">
      <c r="A2775">
        <v>404</v>
      </c>
      <c r="B2775" s="1">
        <v>45627</v>
      </c>
      <c r="C2775">
        <v>72</v>
      </c>
      <c r="D2775">
        <v>29</v>
      </c>
      <c r="E2775">
        <v>3</v>
      </c>
      <c r="F2775">
        <v>1</v>
      </c>
      <c r="G2775" t="s">
        <v>1045</v>
      </c>
      <c r="H2775">
        <f>_xlfn.XLOOKUP(D2775, productos!$A$2:$A$150, productos!$D$2:$D$150, "No Encontrado", 0)</f>
        <v>11.54</v>
      </c>
      <c r="I2775">
        <f t="shared" si="43"/>
        <v>34.619999999999997</v>
      </c>
    </row>
    <row r="2776" spans="1:9" x14ac:dyDescent="0.25">
      <c r="A2776">
        <v>937</v>
      </c>
      <c r="B2776" s="1">
        <v>45627</v>
      </c>
      <c r="C2776">
        <v>261</v>
      </c>
      <c r="D2776">
        <v>27</v>
      </c>
      <c r="E2776">
        <v>4</v>
      </c>
      <c r="F2776">
        <v>2</v>
      </c>
      <c r="G2776" t="s">
        <v>1044</v>
      </c>
      <c r="H2776">
        <f>_xlfn.XLOOKUP(D2776, productos!$A$2:$A$150, productos!$D$2:$D$150, "No Encontrado", 0)</f>
        <v>6.21</v>
      </c>
      <c r="I2776">
        <f t="shared" si="43"/>
        <v>24.84</v>
      </c>
    </row>
    <row r="2777" spans="1:9" x14ac:dyDescent="0.25">
      <c r="A2777">
        <v>1113</v>
      </c>
      <c r="B2777" s="1">
        <v>45627</v>
      </c>
      <c r="C2777">
        <v>4</v>
      </c>
      <c r="D2777">
        <v>17</v>
      </c>
      <c r="E2777">
        <v>2</v>
      </c>
      <c r="F2777">
        <v>1</v>
      </c>
      <c r="G2777" t="s">
        <v>1044</v>
      </c>
      <c r="H2777">
        <f>_xlfn.XLOOKUP(D2777, productos!$A$2:$A$150, productos!$D$2:$D$150, "No Encontrado", 0)</f>
        <v>6.54</v>
      </c>
      <c r="I2777">
        <f t="shared" si="43"/>
        <v>13.08</v>
      </c>
    </row>
    <row r="2778" spans="1:9" x14ac:dyDescent="0.25">
      <c r="A2778">
        <v>1383</v>
      </c>
      <c r="B2778" s="1">
        <v>45627</v>
      </c>
      <c r="C2778">
        <v>185</v>
      </c>
      <c r="D2778">
        <v>10</v>
      </c>
      <c r="E2778">
        <v>3</v>
      </c>
      <c r="F2778">
        <v>4</v>
      </c>
      <c r="G2778" t="s">
        <v>1044</v>
      </c>
      <c r="H2778">
        <f>_xlfn.XLOOKUP(D2778, productos!$A$2:$A$150, productos!$D$2:$D$150, "No Encontrado", 0)</f>
        <v>14.25</v>
      </c>
      <c r="I2778">
        <f t="shared" si="43"/>
        <v>42.75</v>
      </c>
    </row>
    <row r="2779" spans="1:9" x14ac:dyDescent="0.25">
      <c r="A2779">
        <v>1455</v>
      </c>
      <c r="B2779" s="1">
        <v>45627</v>
      </c>
      <c r="C2779">
        <v>271</v>
      </c>
      <c r="D2779">
        <v>29</v>
      </c>
      <c r="E2779">
        <v>4</v>
      </c>
      <c r="F2779">
        <v>4</v>
      </c>
      <c r="G2779" t="s">
        <v>1044</v>
      </c>
      <c r="H2779">
        <f>_xlfn.XLOOKUP(D2779, productos!$A$2:$A$150, productos!$D$2:$D$150, "No Encontrado", 0)</f>
        <v>11.54</v>
      </c>
      <c r="I2779">
        <f t="shared" si="43"/>
        <v>46.16</v>
      </c>
    </row>
    <row r="2780" spans="1:9" x14ac:dyDescent="0.25">
      <c r="A2780">
        <v>1542</v>
      </c>
      <c r="B2780" s="1">
        <v>45627</v>
      </c>
      <c r="C2780">
        <v>250</v>
      </c>
      <c r="D2780">
        <v>33</v>
      </c>
      <c r="E2780">
        <v>4</v>
      </c>
      <c r="F2780">
        <v>1</v>
      </c>
      <c r="G2780" t="s">
        <v>1044</v>
      </c>
      <c r="H2780">
        <f>_xlfn.XLOOKUP(D2780, productos!$A$2:$A$150, productos!$D$2:$D$150, "No Encontrado", 0)</f>
        <v>8.5399999999999991</v>
      </c>
      <c r="I2780">
        <f t="shared" si="43"/>
        <v>34.159999999999997</v>
      </c>
    </row>
    <row r="2781" spans="1:9" x14ac:dyDescent="0.25">
      <c r="A2781">
        <v>1820</v>
      </c>
      <c r="B2781" s="1">
        <v>45627</v>
      </c>
      <c r="C2781">
        <v>170</v>
      </c>
      <c r="D2781">
        <v>30</v>
      </c>
      <c r="E2781">
        <v>2</v>
      </c>
      <c r="F2781">
        <v>1</v>
      </c>
      <c r="G2781" t="s">
        <v>1044</v>
      </c>
      <c r="H2781">
        <f>_xlfn.XLOOKUP(D2781, productos!$A$2:$A$150, productos!$D$2:$D$150, "No Encontrado", 0)</f>
        <v>13.54</v>
      </c>
      <c r="I2781">
        <f t="shared" si="43"/>
        <v>27.08</v>
      </c>
    </row>
    <row r="2782" spans="1:9" x14ac:dyDescent="0.25">
      <c r="A2782">
        <v>1959</v>
      </c>
      <c r="B2782" s="1">
        <v>45627</v>
      </c>
      <c r="C2782">
        <v>58</v>
      </c>
      <c r="D2782">
        <v>16</v>
      </c>
      <c r="E2782">
        <v>6</v>
      </c>
      <c r="F2782">
        <v>5</v>
      </c>
      <c r="G2782" t="s">
        <v>1044</v>
      </c>
      <c r="H2782">
        <f>_xlfn.XLOOKUP(D2782, productos!$A$2:$A$150, productos!$D$2:$D$150, "No Encontrado", 0)</f>
        <v>15.23</v>
      </c>
      <c r="I2782">
        <f t="shared" si="43"/>
        <v>91.38</v>
      </c>
    </row>
    <row r="2783" spans="1:9" x14ac:dyDescent="0.25">
      <c r="A2783">
        <v>2039</v>
      </c>
      <c r="B2783" s="1">
        <v>45627</v>
      </c>
      <c r="C2783">
        <v>88</v>
      </c>
      <c r="D2783">
        <v>12</v>
      </c>
      <c r="E2783">
        <v>3</v>
      </c>
      <c r="F2783">
        <v>1</v>
      </c>
      <c r="G2783" t="s">
        <v>1044</v>
      </c>
      <c r="H2783">
        <f>_xlfn.XLOOKUP(D2783, productos!$A$2:$A$150, productos!$D$2:$D$150, "No Encontrado", 0)</f>
        <v>8.1199999999999992</v>
      </c>
      <c r="I2783">
        <f t="shared" si="43"/>
        <v>24.36</v>
      </c>
    </row>
    <row r="2784" spans="1:9" x14ac:dyDescent="0.25">
      <c r="A2784">
        <v>2906</v>
      </c>
      <c r="B2784" s="1">
        <v>45627</v>
      </c>
      <c r="C2784">
        <v>290</v>
      </c>
      <c r="D2784">
        <v>1</v>
      </c>
      <c r="E2784">
        <v>4</v>
      </c>
      <c r="F2784">
        <v>1</v>
      </c>
      <c r="G2784" t="s">
        <v>1044</v>
      </c>
      <c r="H2784">
        <f>_xlfn.XLOOKUP(D2784, productos!$A$2:$A$150, productos!$D$2:$D$150, "No Encontrado", 0)</f>
        <v>12.24</v>
      </c>
      <c r="I2784">
        <f t="shared" si="43"/>
        <v>48.96</v>
      </c>
    </row>
    <row r="2785" spans="1:9" x14ac:dyDescent="0.25">
      <c r="A2785">
        <v>2912</v>
      </c>
      <c r="B2785" s="1">
        <v>45627</v>
      </c>
      <c r="C2785">
        <v>39</v>
      </c>
      <c r="D2785">
        <v>26</v>
      </c>
      <c r="E2785">
        <v>2</v>
      </c>
      <c r="F2785">
        <v>5</v>
      </c>
      <c r="G2785" t="s">
        <v>1044</v>
      </c>
      <c r="H2785">
        <f>_xlfn.XLOOKUP(D2785, productos!$A$2:$A$150, productos!$D$2:$D$150, "No Encontrado", 0)</f>
        <v>9.5399999999999991</v>
      </c>
      <c r="I2785">
        <f t="shared" si="43"/>
        <v>19.079999999999998</v>
      </c>
    </row>
    <row r="2786" spans="1:9" x14ac:dyDescent="0.25">
      <c r="A2786">
        <v>483</v>
      </c>
      <c r="B2786" s="1">
        <v>45628</v>
      </c>
      <c r="C2786">
        <v>230</v>
      </c>
      <c r="D2786">
        <v>25</v>
      </c>
      <c r="E2786">
        <v>6</v>
      </c>
      <c r="F2786">
        <v>4</v>
      </c>
      <c r="G2786" t="s">
        <v>1044</v>
      </c>
      <c r="H2786">
        <f>_xlfn.XLOOKUP(D2786, productos!$A$2:$A$150, productos!$D$2:$D$150, "No Encontrado", 0)</f>
        <v>15.45</v>
      </c>
      <c r="I2786">
        <f t="shared" si="43"/>
        <v>92.699999999999989</v>
      </c>
    </row>
    <row r="2787" spans="1:9" x14ac:dyDescent="0.25">
      <c r="A2787">
        <v>496</v>
      </c>
      <c r="B2787" s="1">
        <v>45628</v>
      </c>
      <c r="C2787">
        <v>137</v>
      </c>
      <c r="D2787">
        <v>33</v>
      </c>
      <c r="E2787">
        <v>1</v>
      </c>
      <c r="F2787">
        <v>5</v>
      </c>
      <c r="G2787" t="s">
        <v>1044</v>
      </c>
      <c r="H2787">
        <f>_xlfn.XLOOKUP(D2787, productos!$A$2:$A$150, productos!$D$2:$D$150, "No Encontrado", 0)</f>
        <v>8.5399999999999991</v>
      </c>
      <c r="I2787">
        <f t="shared" si="43"/>
        <v>8.5399999999999991</v>
      </c>
    </row>
    <row r="2788" spans="1:9" x14ac:dyDescent="0.25">
      <c r="A2788">
        <v>924</v>
      </c>
      <c r="B2788" s="1">
        <v>45628</v>
      </c>
      <c r="C2788">
        <v>90</v>
      </c>
      <c r="D2788">
        <v>1</v>
      </c>
      <c r="E2788">
        <v>2</v>
      </c>
      <c r="F2788">
        <v>3</v>
      </c>
      <c r="G2788" t="s">
        <v>1044</v>
      </c>
      <c r="H2788">
        <f>_xlfn.XLOOKUP(D2788, productos!$A$2:$A$150, productos!$D$2:$D$150, "No Encontrado", 0)</f>
        <v>12.24</v>
      </c>
      <c r="I2788">
        <f t="shared" si="43"/>
        <v>24.48</v>
      </c>
    </row>
    <row r="2789" spans="1:9" x14ac:dyDescent="0.25">
      <c r="A2789">
        <v>990</v>
      </c>
      <c r="B2789" s="1">
        <v>45628</v>
      </c>
      <c r="C2789">
        <v>136</v>
      </c>
      <c r="D2789">
        <v>27</v>
      </c>
      <c r="E2789">
        <v>6</v>
      </c>
      <c r="F2789">
        <v>4</v>
      </c>
      <c r="G2789" t="s">
        <v>1044</v>
      </c>
      <c r="H2789">
        <f>_xlfn.XLOOKUP(D2789, productos!$A$2:$A$150, productos!$D$2:$D$150, "No Encontrado", 0)</f>
        <v>6.21</v>
      </c>
      <c r="I2789">
        <f t="shared" si="43"/>
        <v>37.26</v>
      </c>
    </row>
    <row r="2790" spans="1:9" x14ac:dyDescent="0.25">
      <c r="A2790">
        <v>1267</v>
      </c>
      <c r="B2790" s="1">
        <v>45628</v>
      </c>
      <c r="C2790">
        <v>130</v>
      </c>
      <c r="D2790">
        <v>1</v>
      </c>
      <c r="E2790">
        <v>2</v>
      </c>
      <c r="F2790">
        <v>5</v>
      </c>
      <c r="G2790" t="s">
        <v>1044</v>
      </c>
      <c r="H2790">
        <f>_xlfn.XLOOKUP(D2790, productos!$A$2:$A$150, productos!$D$2:$D$150, "No Encontrado", 0)</f>
        <v>12.24</v>
      </c>
      <c r="I2790">
        <f t="shared" si="43"/>
        <v>24.48</v>
      </c>
    </row>
    <row r="2791" spans="1:9" x14ac:dyDescent="0.25">
      <c r="A2791">
        <v>1273</v>
      </c>
      <c r="B2791" s="1">
        <v>45628</v>
      </c>
      <c r="C2791">
        <v>289</v>
      </c>
      <c r="D2791">
        <v>29</v>
      </c>
      <c r="E2791">
        <v>3</v>
      </c>
      <c r="F2791">
        <v>1</v>
      </c>
      <c r="G2791" t="s">
        <v>1044</v>
      </c>
      <c r="H2791">
        <f>_xlfn.XLOOKUP(D2791, productos!$A$2:$A$150, productos!$D$2:$D$150, "No Encontrado", 0)</f>
        <v>11.54</v>
      </c>
      <c r="I2791">
        <f t="shared" si="43"/>
        <v>34.619999999999997</v>
      </c>
    </row>
    <row r="2792" spans="1:9" x14ac:dyDescent="0.25">
      <c r="A2792">
        <v>1884</v>
      </c>
      <c r="B2792" s="1">
        <v>45628</v>
      </c>
      <c r="C2792">
        <v>98</v>
      </c>
      <c r="D2792">
        <v>33</v>
      </c>
      <c r="E2792">
        <v>5</v>
      </c>
      <c r="F2792">
        <v>3</v>
      </c>
      <c r="G2792" t="s">
        <v>1044</v>
      </c>
      <c r="H2792">
        <f>_xlfn.XLOOKUP(D2792, productos!$A$2:$A$150, productos!$D$2:$D$150, "No Encontrado", 0)</f>
        <v>8.5399999999999991</v>
      </c>
      <c r="I2792">
        <f t="shared" si="43"/>
        <v>42.699999999999996</v>
      </c>
    </row>
    <row r="2793" spans="1:9" x14ac:dyDescent="0.25">
      <c r="A2793">
        <v>2856</v>
      </c>
      <c r="B2793" s="1">
        <v>45628</v>
      </c>
      <c r="C2793">
        <v>87</v>
      </c>
      <c r="D2793">
        <v>36</v>
      </c>
      <c r="E2793">
        <v>5</v>
      </c>
      <c r="F2793">
        <v>4</v>
      </c>
      <c r="G2793" t="s">
        <v>1044</v>
      </c>
      <c r="H2793">
        <f>_xlfn.XLOOKUP(D2793, productos!$A$2:$A$150, productos!$D$2:$D$150, "No Encontrado", 0)</f>
        <v>3.25</v>
      </c>
      <c r="I2793">
        <f t="shared" si="43"/>
        <v>16.25</v>
      </c>
    </row>
    <row r="2794" spans="1:9" x14ac:dyDescent="0.25">
      <c r="A2794">
        <v>3000</v>
      </c>
      <c r="B2794" s="1">
        <v>45628</v>
      </c>
      <c r="C2794">
        <v>266</v>
      </c>
      <c r="D2794">
        <v>31</v>
      </c>
      <c r="E2794">
        <v>2</v>
      </c>
      <c r="F2794">
        <v>1</v>
      </c>
      <c r="G2794" t="s">
        <v>1045</v>
      </c>
      <c r="H2794">
        <f>_xlfn.XLOOKUP(D2794, productos!$A$2:$A$150, productos!$D$2:$D$150, "No Encontrado", 0)</f>
        <v>5.24</v>
      </c>
      <c r="I2794">
        <f t="shared" si="43"/>
        <v>10.48</v>
      </c>
    </row>
    <row r="2795" spans="1:9" x14ac:dyDescent="0.25">
      <c r="A2795">
        <v>1292</v>
      </c>
      <c r="B2795" s="1">
        <v>45629</v>
      </c>
      <c r="C2795">
        <v>287</v>
      </c>
      <c r="D2795">
        <v>24</v>
      </c>
      <c r="E2795">
        <v>3</v>
      </c>
      <c r="F2795">
        <v>4</v>
      </c>
      <c r="G2795" t="s">
        <v>1044</v>
      </c>
      <c r="H2795">
        <f>_xlfn.XLOOKUP(D2795, productos!$A$2:$A$150, productos!$D$2:$D$150, "No Encontrado", 0)</f>
        <v>13.54</v>
      </c>
      <c r="I2795">
        <f t="shared" si="43"/>
        <v>40.619999999999997</v>
      </c>
    </row>
    <row r="2796" spans="1:9" x14ac:dyDescent="0.25">
      <c r="A2796">
        <v>1507</v>
      </c>
      <c r="B2796" s="1">
        <v>45629</v>
      </c>
      <c r="C2796">
        <v>145</v>
      </c>
      <c r="D2796">
        <v>25</v>
      </c>
      <c r="E2796">
        <v>4</v>
      </c>
      <c r="F2796">
        <v>3</v>
      </c>
      <c r="G2796" t="s">
        <v>1044</v>
      </c>
      <c r="H2796">
        <f>_xlfn.XLOOKUP(D2796, productos!$A$2:$A$150, productos!$D$2:$D$150, "No Encontrado", 0)</f>
        <v>15.45</v>
      </c>
      <c r="I2796">
        <f t="shared" si="43"/>
        <v>61.8</v>
      </c>
    </row>
    <row r="2797" spans="1:9" x14ac:dyDescent="0.25">
      <c r="A2797">
        <v>2028</v>
      </c>
      <c r="B2797" s="1">
        <v>45629</v>
      </c>
      <c r="C2797">
        <v>226</v>
      </c>
      <c r="D2797">
        <v>16</v>
      </c>
      <c r="E2797">
        <v>3</v>
      </c>
      <c r="F2797">
        <v>3</v>
      </c>
      <c r="G2797" t="s">
        <v>1044</v>
      </c>
      <c r="H2797">
        <f>_xlfn.XLOOKUP(D2797, productos!$A$2:$A$150, productos!$D$2:$D$150, "No Encontrado", 0)</f>
        <v>15.23</v>
      </c>
      <c r="I2797">
        <f t="shared" si="43"/>
        <v>45.69</v>
      </c>
    </row>
    <row r="2798" spans="1:9" x14ac:dyDescent="0.25">
      <c r="A2798">
        <v>2573</v>
      </c>
      <c r="B2798" s="1">
        <v>45629</v>
      </c>
      <c r="C2798">
        <v>143</v>
      </c>
      <c r="D2798">
        <v>7</v>
      </c>
      <c r="E2798">
        <v>1</v>
      </c>
      <c r="F2798">
        <v>2</v>
      </c>
      <c r="G2798" t="s">
        <v>1044</v>
      </c>
      <c r="H2798">
        <f>_xlfn.XLOOKUP(D2798, productos!$A$2:$A$150, productos!$D$2:$D$150, "No Encontrado", 0)</f>
        <v>11.25</v>
      </c>
      <c r="I2798">
        <f t="shared" si="43"/>
        <v>11.25</v>
      </c>
    </row>
    <row r="2799" spans="1:9" x14ac:dyDescent="0.25">
      <c r="A2799">
        <v>2817</v>
      </c>
      <c r="B2799" s="1">
        <v>45629</v>
      </c>
      <c r="C2799">
        <v>254</v>
      </c>
      <c r="D2799">
        <v>18</v>
      </c>
      <c r="E2799">
        <v>2</v>
      </c>
      <c r="F2799">
        <v>1</v>
      </c>
      <c r="G2799" t="s">
        <v>1045</v>
      </c>
      <c r="H2799">
        <f>_xlfn.XLOOKUP(D2799, productos!$A$2:$A$150, productos!$D$2:$D$150, "No Encontrado", 0)</f>
        <v>7.25</v>
      </c>
      <c r="I2799">
        <f t="shared" si="43"/>
        <v>14.5</v>
      </c>
    </row>
    <row r="2800" spans="1:9" x14ac:dyDescent="0.25">
      <c r="A2800">
        <v>847</v>
      </c>
      <c r="B2800" s="1">
        <v>45630</v>
      </c>
      <c r="C2800">
        <v>244</v>
      </c>
      <c r="D2800">
        <v>29</v>
      </c>
      <c r="E2800">
        <v>3</v>
      </c>
      <c r="F2800">
        <v>5</v>
      </c>
      <c r="G2800" t="s">
        <v>1044</v>
      </c>
      <c r="H2800">
        <f>_xlfn.XLOOKUP(D2800, productos!$A$2:$A$150, productos!$D$2:$D$150, "No Encontrado", 0)</f>
        <v>11.54</v>
      </c>
      <c r="I2800">
        <f t="shared" si="43"/>
        <v>34.619999999999997</v>
      </c>
    </row>
    <row r="2801" spans="1:9" x14ac:dyDescent="0.25">
      <c r="A2801">
        <v>1056</v>
      </c>
      <c r="B2801" s="1">
        <v>45630</v>
      </c>
      <c r="C2801">
        <v>46</v>
      </c>
      <c r="D2801">
        <v>8</v>
      </c>
      <c r="E2801">
        <v>2</v>
      </c>
      <c r="F2801">
        <v>5</v>
      </c>
      <c r="G2801" t="s">
        <v>1044</v>
      </c>
      <c r="H2801">
        <f>_xlfn.XLOOKUP(D2801, productos!$A$2:$A$150, productos!$D$2:$D$150, "No Encontrado", 0)</f>
        <v>16.21</v>
      </c>
      <c r="I2801">
        <f t="shared" si="43"/>
        <v>32.42</v>
      </c>
    </row>
    <row r="2802" spans="1:9" x14ac:dyDescent="0.25">
      <c r="A2802">
        <v>2250</v>
      </c>
      <c r="B2802" s="1">
        <v>45630</v>
      </c>
      <c r="C2802">
        <v>276</v>
      </c>
      <c r="D2802">
        <v>4</v>
      </c>
      <c r="E2802">
        <v>4</v>
      </c>
      <c r="F2802">
        <v>5</v>
      </c>
      <c r="G2802" t="s">
        <v>1044</v>
      </c>
      <c r="H2802">
        <f>_xlfn.XLOOKUP(D2802, productos!$A$2:$A$150, productos!$D$2:$D$150, "No Encontrado", 0)</f>
        <v>19.23</v>
      </c>
      <c r="I2802">
        <f t="shared" si="43"/>
        <v>76.92</v>
      </c>
    </row>
    <row r="2803" spans="1:9" x14ac:dyDescent="0.25">
      <c r="A2803">
        <v>2297</v>
      </c>
      <c r="B2803" s="1">
        <v>45630</v>
      </c>
      <c r="C2803">
        <v>69</v>
      </c>
      <c r="D2803">
        <v>23</v>
      </c>
      <c r="E2803">
        <v>2</v>
      </c>
      <c r="F2803">
        <v>5</v>
      </c>
      <c r="G2803" t="s">
        <v>1044</v>
      </c>
      <c r="H2803">
        <f>_xlfn.XLOOKUP(D2803, productos!$A$2:$A$150, productos!$D$2:$D$150, "No Encontrado", 0)</f>
        <v>8.23</v>
      </c>
      <c r="I2803">
        <f t="shared" si="43"/>
        <v>16.46</v>
      </c>
    </row>
    <row r="2804" spans="1:9" x14ac:dyDescent="0.25">
      <c r="A2804">
        <v>2349</v>
      </c>
      <c r="B2804" s="1">
        <v>45630</v>
      </c>
      <c r="C2804">
        <v>90</v>
      </c>
      <c r="D2804">
        <v>9</v>
      </c>
      <c r="E2804">
        <v>5</v>
      </c>
      <c r="F2804">
        <v>1</v>
      </c>
      <c r="G2804" t="s">
        <v>1044</v>
      </c>
      <c r="H2804">
        <f>_xlfn.XLOOKUP(D2804, productos!$A$2:$A$150, productos!$D$2:$D$150, "No Encontrado", 0)</f>
        <v>18.559999999999999</v>
      </c>
      <c r="I2804">
        <f t="shared" si="43"/>
        <v>92.8</v>
      </c>
    </row>
    <row r="2805" spans="1:9" x14ac:dyDescent="0.25">
      <c r="A2805">
        <v>2591</v>
      </c>
      <c r="B2805" s="1">
        <v>45630</v>
      </c>
      <c r="C2805">
        <v>305</v>
      </c>
      <c r="D2805">
        <v>9</v>
      </c>
      <c r="E2805">
        <v>6</v>
      </c>
      <c r="F2805">
        <v>5</v>
      </c>
      <c r="G2805" t="s">
        <v>1044</v>
      </c>
      <c r="H2805">
        <f>_xlfn.XLOOKUP(D2805, productos!$A$2:$A$150, productos!$D$2:$D$150, "No Encontrado", 0)</f>
        <v>18.559999999999999</v>
      </c>
      <c r="I2805">
        <f t="shared" si="43"/>
        <v>111.35999999999999</v>
      </c>
    </row>
    <row r="2806" spans="1:9" x14ac:dyDescent="0.25">
      <c r="A2806">
        <v>424</v>
      </c>
      <c r="B2806" s="1">
        <v>45631</v>
      </c>
      <c r="C2806">
        <v>259</v>
      </c>
      <c r="D2806">
        <v>2</v>
      </c>
      <c r="E2806">
        <v>5</v>
      </c>
      <c r="F2806">
        <v>3</v>
      </c>
      <c r="G2806" t="s">
        <v>1044</v>
      </c>
      <c r="H2806">
        <f>_xlfn.XLOOKUP(D2806, productos!$A$2:$A$150, productos!$D$2:$D$150, "No Encontrado", 0)</f>
        <v>5.21</v>
      </c>
      <c r="I2806">
        <f t="shared" si="43"/>
        <v>26.05</v>
      </c>
    </row>
    <row r="2807" spans="1:9" x14ac:dyDescent="0.25">
      <c r="A2807">
        <v>782</v>
      </c>
      <c r="B2807" s="1">
        <v>45631</v>
      </c>
      <c r="C2807">
        <v>12</v>
      </c>
      <c r="D2807">
        <v>2</v>
      </c>
      <c r="E2807">
        <v>3</v>
      </c>
      <c r="F2807">
        <v>5</v>
      </c>
      <c r="G2807" t="s">
        <v>1044</v>
      </c>
      <c r="H2807">
        <f>_xlfn.XLOOKUP(D2807, productos!$A$2:$A$150, productos!$D$2:$D$150, "No Encontrado", 0)</f>
        <v>5.21</v>
      </c>
      <c r="I2807">
        <f t="shared" si="43"/>
        <v>15.629999999999999</v>
      </c>
    </row>
    <row r="2808" spans="1:9" x14ac:dyDescent="0.25">
      <c r="A2808">
        <v>915</v>
      </c>
      <c r="B2808" s="1">
        <v>45631</v>
      </c>
      <c r="C2808">
        <v>75</v>
      </c>
      <c r="D2808">
        <v>14</v>
      </c>
      <c r="E2808">
        <v>3</v>
      </c>
      <c r="F2808">
        <v>4</v>
      </c>
      <c r="G2808" t="s">
        <v>1044</v>
      </c>
      <c r="H2808">
        <f>_xlfn.XLOOKUP(D2808, productos!$A$2:$A$150, productos!$D$2:$D$150, "No Encontrado", 0)</f>
        <v>12.36</v>
      </c>
      <c r="I2808">
        <f t="shared" si="43"/>
        <v>37.08</v>
      </c>
    </row>
    <row r="2809" spans="1:9" x14ac:dyDescent="0.25">
      <c r="A2809">
        <v>1240</v>
      </c>
      <c r="B2809" s="1">
        <v>45631</v>
      </c>
      <c r="C2809">
        <v>56</v>
      </c>
      <c r="D2809">
        <v>28</v>
      </c>
      <c r="E2809">
        <v>1</v>
      </c>
      <c r="F2809">
        <v>5</v>
      </c>
      <c r="G2809" t="s">
        <v>1044</v>
      </c>
      <c r="H2809">
        <f>_xlfn.XLOOKUP(D2809, productos!$A$2:$A$150, productos!$D$2:$D$150, "No Encontrado", 0)</f>
        <v>9.4499999999999993</v>
      </c>
      <c r="I2809">
        <f t="shared" si="43"/>
        <v>9.4499999999999993</v>
      </c>
    </row>
    <row r="2810" spans="1:9" x14ac:dyDescent="0.25">
      <c r="A2810">
        <v>2010</v>
      </c>
      <c r="B2810" s="1">
        <v>45631</v>
      </c>
      <c r="C2810">
        <v>9</v>
      </c>
      <c r="D2810">
        <v>4</v>
      </c>
      <c r="E2810">
        <v>3</v>
      </c>
      <c r="F2810">
        <v>3</v>
      </c>
      <c r="G2810" t="s">
        <v>1044</v>
      </c>
      <c r="H2810">
        <f>_xlfn.XLOOKUP(D2810, productos!$A$2:$A$150, productos!$D$2:$D$150, "No Encontrado", 0)</f>
        <v>19.23</v>
      </c>
      <c r="I2810">
        <f t="shared" si="43"/>
        <v>57.69</v>
      </c>
    </row>
    <row r="2811" spans="1:9" x14ac:dyDescent="0.25">
      <c r="A2811">
        <v>2173</v>
      </c>
      <c r="B2811" s="1">
        <v>45631</v>
      </c>
      <c r="C2811">
        <v>128</v>
      </c>
      <c r="D2811">
        <v>25</v>
      </c>
      <c r="E2811">
        <v>1</v>
      </c>
      <c r="F2811">
        <v>5</v>
      </c>
      <c r="G2811" t="s">
        <v>1044</v>
      </c>
      <c r="H2811">
        <f>_xlfn.XLOOKUP(D2811, productos!$A$2:$A$150, productos!$D$2:$D$150, "No Encontrado", 0)</f>
        <v>15.45</v>
      </c>
      <c r="I2811">
        <f t="shared" si="43"/>
        <v>15.45</v>
      </c>
    </row>
    <row r="2812" spans="1:9" x14ac:dyDescent="0.25">
      <c r="A2812">
        <v>2217</v>
      </c>
      <c r="B2812" s="1">
        <v>45631</v>
      </c>
      <c r="C2812">
        <v>198</v>
      </c>
      <c r="D2812">
        <v>6</v>
      </c>
      <c r="E2812">
        <v>6</v>
      </c>
      <c r="F2812">
        <v>3</v>
      </c>
      <c r="G2812" t="s">
        <v>1044</v>
      </c>
      <c r="H2812">
        <f>_xlfn.XLOOKUP(D2812, productos!$A$2:$A$150, productos!$D$2:$D$150, "No Encontrado", 0)</f>
        <v>28.56</v>
      </c>
      <c r="I2812">
        <f t="shared" si="43"/>
        <v>171.35999999999999</v>
      </c>
    </row>
    <row r="2813" spans="1:9" x14ac:dyDescent="0.25">
      <c r="A2813">
        <v>2706</v>
      </c>
      <c r="B2813" s="1">
        <v>45631</v>
      </c>
      <c r="C2813">
        <v>21</v>
      </c>
      <c r="D2813">
        <v>24</v>
      </c>
      <c r="E2813">
        <v>4</v>
      </c>
      <c r="F2813">
        <v>4</v>
      </c>
      <c r="G2813" t="s">
        <v>1045</v>
      </c>
      <c r="H2813">
        <f>_xlfn.XLOOKUP(D2813, productos!$A$2:$A$150, productos!$D$2:$D$150, "No Encontrado", 0)</f>
        <v>13.54</v>
      </c>
      <c r="I2813">
        <f t="shared" si="43"/>
        <v>54.16</v>
      </c>
    </row>
    <row r="2814" spans="1:9" x14ac:dyDescent="0.25">
      <c r="A2814">
        <v>643</v>
      </c>
      <c r="B2814" s="1">
        <v>45632</v>
      </c>
      <c r="C2814">
        <v>93</v>
      </c>
      <c r="D2814">
        <v>15</v>
      </c>
      <c r="E2814">
        <v>5</v>
      </c>
      <c r="F2814">
        <v>2</v>
      </c>
      <c r="G2814" t="s">
        <v>1044</v>
      </c>
      <c r="H2814">
        <f>_xlfn.XLOOKUP(D2814, productos!$A$2:$A$150, productos!$D$2:$D$150, "No Encontrado", 0)</f>
        <v>3.51</v>
      </c>
      <c r="I2814">
        <f t="shared" si="43"/>
        <v>17.549999999999997</v>
      </c>
    </row>
    <row r="2815" spans="1:9" x14ac:dyDescent="0.25">
      <c r="A2815">
        <v>742</v>
      </c>
      <c r="B2815" s="1">
        <v>45632</v>
      </c>
      <c r="C2815">
        <v>45</v>
      </c>
      <c r="D2815">
        <v>11</v>
      </c>
      <c r="E2815">
        <v>5</v>
      </c>
      <c r="F2815">
        <v>5</v>
      </c>
      <c r="G2815" t="s">
        <v>1044</v>
      </c>
      <c r="H2815">
        <f>_xlfn.XLOOKUP(D2815, productos!$A$2:$A$150, productos!$D$2:$D$150, "No Encontrado", 0)</f>
        <v>11.23</v>
      </c>
      <c r="I2815">
        <f t="shared" si="43"/>
        <v>56.150000000000006</v>
      </c>
    </row>
    <row r="2816" spans="1:9" x14ac:dyDescent="0.25">
      <c r="A2816">
        <v>1201</v>
      </c>
      <c r="B2816" s="1">
        <v>45632</v>
      </c>
      <c r="C2816">
        <v>161</v>
      </c>
      <c r="D2816">
        <v>10</v>
      </c>
      <c r="E2816">
        <v>1</v>
      </c>
      <c r="F2816">
        <v>3</v>
      </c>
      <c r="G2816" t="s">
        <v>1044</v>
      </c>
      <c r="H2816">
        <f>_xlfn.XLOOKUP(D2816, productos!$A$2:$A$150, productos!$D$2:$D$150, "No Encontrado", 0)</f>
        <v>14.25</v>
      </c>
      <c r="I2816">
        <f t="shared" si="43"/>
        <v>14.25</v>
      </c>
    </row>
    <row r="2817" spans="1:9" x14ac:dyDescent="0.25">
      <c r="A2817">
        <v>2380</v>
      </c>
      <c r="B2817" s="1">
        <v>45632</v>
      </c>
      <c r="C2817">
        <v>175</v>
      </c>
      <c r="D2817">
        <v>12</v>
      </c>
      <c r="E2817">
        <v>5</v>
      </c>
      <c r="F2817">
        <v>3</v>
      </c>
      <c r="G2817" t="s">
        <v>1044</v>
      </c>
      <c r="H2817">
        <f>_xlfn.XLOOKUP(D2817, productos!$A$2:$A$150, productos!$D$2:$D$150, "No Encontrado", 0)</f>
        <v>8.1199999999999992</v>
      </c>
      <c r="I2817">
        <f t="shared" si="43"/>
        <v>40.599999999999994</v>
      </c>
    </row>
    <row r="2818" spans="1:9" x14ac:dyDescent="0.25">
      <c r="A2818">
        <v>2517</v>
      </c>
      <c r="B2818" s="1">
        <v>45632</v>
      </c>
      <c r="C2818">
        <v>308</v>
      </c>
      <c r="D2818">
        <v>3</v>
      </c>
      <c r="E2818">
        <v>2</v>
      </c>
      <c r="F2818">
        <v>4</v>
      </c>
      <c r="G2818" t="s">
        <v>1045</v>
      </c>
      <c r="H2818">
        <f>_xlfn.XLOOKUP(D2818, productos!$A$2:$A$150, productos!$D$2:$D$150, "No Encontrado", 0)</f>
        <v>17.23</v>
      </c>
      <c r="I2818">
        <f t="shared" si="43"/>
        <v>34.46</v>
      </c>
    </row>
    <row r="2819" spans="1:9" x14ac:dyDescent="0.25">
      <c r="A2819">
        <v>1002</v>
      </c>
      <c r="B2819" s="1">
        <v>45633</v>
      </c>
      <c r="C2819">
        <v>7</v>
      </c>
      <c r="D2819">
        <v>19</v>
      </c>
      <c r="E2819">
        <v>3</v>
      </c>
      <c r="F2819">
        <v>4</v>
      </c>
      <c r="G2819" t="s">
        <v>1044</v>
      </c>
      <c r="H2819">
        <f>_xlfn.XLOOKUP(D2819, productos!$A$2:$A$150, productos!$D$2:$D$150, "No Encontrado", 0)</f>
        <v>6.54</v>
      </c>
      <c r="I2819">
        <f t="shared" ref="I2819:I2882" si="44">E2819*H2819</f>
        <v>19.62</v>
      </c>
    </row>
    <row r="2820" spans="1:9" x14ac:dyDescent="0.25">
      <c r="A2820">
        <v>1879</v>
      </c>
      <c r="B2820" s="1">
        <v>45633</v>
      </c>
      <c r="C2820">
        <v>160</v>
      </c>
      <c r="D2820">
        <v>4</v>
      </c>
      <c r="E2820">
        <v>4</v>
      </c>
      <c r="F2820">
        <v>4</v>
      </c>
      <c r="G2820" t="s">
        <v>1044</v>
      </c>
      <c r="H2820">
        <f>_xlfn.XLOOKUP(D2820, productos!$A$2:$A$150, productos!$D$2:$D$150, "No Encontrado", 0)</f>
        <v>19.23</v>
      </c>
      <c r="I2820">
        <f t="shared" si="44"/>
        <v>76.92</v>
      </c>
    </row>
    <row r="2821" spans="1:9" x14ac:dyDescent="0.25">
      <c r="A2821">
        <v>2012</v>
      </c>
      <c r="B2821" s="1">
        <v>45633</v>
      </c>
      <c r="C2821">
        <v>210</v>
      </c>
      <c r="D2821">
        <v>33</v>
      </c>
      <c r="E2821">
        <v>4</v>
      </c>
      <c r="F2821">
        <v>4</v>
      </c>
      <c r="G2821" t="s">
        <v>1044</v>
      </c>
      <c r="H2821">
        <f>_xlfn.XLOOKUP(D2821, productos!$A$2:$A$150, productos!$D$2:$D$150, "No Encontrado", 0)</f>
        <v>8.5399999999999991</v>
      </c>
      <c r="I2821">
        <f t="shared" si="44"/>
        <v>34.159999999999997</v>
      </c>
    </row>
    <row r="2822" spans="1:9" x14ac:dyDescent="0.25">
      <c r="A2822">
        <v>2179</v>
      </c>
      <c r="B2822" s="1">
        <v>45633</v>
      </c>
      <c r="C2822">
        <v>150</v>
      </c>
      <c r="D2822">
        <v>23</v>
      </c>
      <c r="E2822">
        <v>4</v>
      </c>
      <c r="F2822">
        <v>4</v>
      </c>
      <c r="G2822" t="s">
        <v>1044</v>
      </c>
      <c r="H2822">
        <f>_xlfn.XLOOKUP(D2822, productos!$A$2:$A$150, productos!$D$2:$D$150, "No Encontrado", 0)</f>
        <v>8.23</v>
      </c>
      <c r="I2822">
        <f t="shared" si="44"/>
        <v>32.92</v>
      </c>
    </row>
    <row r="2823" spans="1:9" x14ac:dyDescent="0.25">
      <c r="A2823">
        <v>2608</v>
      </c>
      <c r="B2823" s="1">
        <v>45633</v>
      </c>
      <c r="C2823">
        <v>222</v>
      </c>
      <c r="D2823">
        <v>12</v>
      </c>
      <c r="E2823">
        <v>4</v>
      </c>
      <c r="F2823">
        <v>3</v>
      </c>
      <c r="G2823" t="s">
        <v>1044</v>
      </c>
      <c r="H2823">
        <f>_xlfn.XLOOKUP(D2823, productos!$A$2:$A$150, productos!$D$2:$D$150, "No Encontrado", 0)</f>
        <v>8.1199999999999992</v>
      </c>
      <c r="I2823">
        <f t="shared" si="44"/>
        <v>32.479999999999997</v>
      </c>
    </row>
    <row r="2824" spans="1:9" x14ac:dyDescent="0.25">
      <c r="A2824">
        <v>813</v>
      </c>
      <c r="B2824" s="1">
        <v>45634</v>
      </c>
      <c r="C2824">
        <v>168</v>
      </c>
      <c r="D2824">
        <v>22</v>
      </c>
      <c r="E2824">
        <v>3</v>
      </c>
      <c r="F2824">
        <v>3</v>
      </c>
      <c r="G2824" t="s">
        <v>1044</v>
      </c>
      <c r="H2824">
        <f>_xlfn.XLOOKUP(D2824, productos!$A$2:$A$150, productos!$D$2:$D$150, "No Encontrado", 0)</f>
        <v>4.21</v>
      </c>
      <c r="I2824">
        <f t="shared" si="44"/>
        <v>12.629999999999999</v>
      </c>
    </row>
    <row r="2825" spans="1:9" x14ac:dyDescent="0.25">
      <c r="A2825">
        <v>843</v>
      </c>
      <c r="B2825" s="1">
        <v>45634</v>
      </c>
      <c r="C2825">
        <v>7</v>
      </c>
      <c r="D2825">
        <v>3</v>
      </c>
      <c r="E2825">
        <v>1</v>
      </c>
      <c r="F2825">
        <v>2</v>
      </c>
      <c r="G2825" t="s">
        <v>1044</v>
      </c>
      <c r="H2825">
        <f>_xlfn.XLOOKUP(D2825, productos!$A$2:$A$150, productos!$D$2:$D$150, "No Encontrado", 0)</f>
        <v>17.23</v>
      </c>
      <c r="I2825">
        <f t="shared" si="44"/>
        <v>17.23</v>
      </c>
    </row>
    <row r="2826" spans="1:9" x14ac:dyDescent="0.25">
      <c r="A2826">
        <v>1154</v>
      </c>
      <c r="B2826" s="1">
        <v>45634</v>
      </c>
      <c r="C2826">
        <v>260</v>
      </c>
      <c r="D2826">
        <v>15</v>
      </c>
      <c r="E2826">
        <v>1</v>
      </c>
      <c r="F2826">
        <v>5</v>
      </c>
      <c r="G2826" t="s">
        <v>1044</v>
      </c>
      <c r="H2826">
        <f>_xlfn.XLOOKUP(D2826, productos!$A$2:$A$150, productos!$D$2:$D$150, "No Encontrado", 0)</f>
        <v>3.51</v>
      </c>
      <c r="I2826">
        <f t="shared" si="44"/>
        <v>3.51</v>
      </c>
    </row>
    <row r="2827" spans="1:9" x14ac:dyDescent="0.25">
      <c r="A2827">
        <v>1468</v>
      </c>
      <c r="B2827" s="1">
        <v>45634</v>
      </c>
      <c r="C2827">
        <v>3</v>
      </c>
      <c r="D2827">
        <v>38</v>
      </c>
      <c r="E2827">
        <v>2</v>
      </c>
      <c r="F2827">
        <v>3</v>
      </c>
      <c r="G2827" t="s">
        <v>1044</v>
      </c>
      <c r="H2827">
        <f>_xlfn.XLOOKUP(D2827, productos!$A$2:$A$150, productos!$D$2:$D$150, "No Encontrado", 0)</f>
        <v>6.21</v>
      </c>
      <c r="I2827">
        <f t="shared" si="44"/>
        <v>12.42</v>
      </c>
    </row>
    <row r="2828" spans="1:9" x14ac:dyDescent="0.25">
      <c r="A2828">
        <v>2318</v>
      </c>
      <c r="B2828" s="1">
        <v>45634</v>
      </c>
      <c r="C2828">
        <v>18</v>
      </c>
      <c r="D2828">
        <v>9</v>
      </c>
      <c r="E2828">
        <v>4</v>
      </c>
      <c r="F2828">
        <v>3</v>
      </c>
      <c r="G2828" t="s">
        <v>1044</v>
      </c>
      <c r="H2828">
        <f>_xlfn.XLOOKUP(D2828, productos!$A$2:$A$150, productos!$D$2:$D$150, "No Encontrado", 0)</f>
        <v>18.559999999999999</v>
      </c>
      <c r="I2828">
        <f t="shared" si="44"/>
        <v>74.239999999999995</v>
      </c>
    </row>
    <row r="2829" spans="1:9" x14ac:dyDescent="0.25">
      <c r="A2829">
        <v>2378</v>
      </c>
      <c r="B2829" s="1">
        <v>45634</v>
      </c>
      <c r="C2829">
        <v>31</v>
      </c>
      <c r="D2829">
        <v>2</v>
      </c>
      <c r="E2829">
        <v>1</v>
      </c>
      <c r="F2829">
        <v>5</v>
      </c>
      <c r="G2829" t="s">
        <v>1045</v>
      </c>
      <c r="H2829">
        <f>_xlfn.XLOOKUP(D2829, productos!$A$2:$A$150, productos!$D$2:$D$150, "No Encontrado", 0)</f>
        <v>5.21</v>
      </c>
      <c r="I2829">
        <f t="shared" si="44"/>
        <v>5.21</v>
      </c>
    </row>
    <row r="2830" spans="1:9" x14ac:dyDescent="0.25">
      <c r="A2830">
        <v>2483</v>
      </c>
      <c r="B2830" s="1">
        <v>45634</v>
      </c>
      <c r="C2830">
        <v>14</v>
      </c>
      <c r="D2830">
        <v>13</v>
      </c>
      <c r="E2830">
        <v>3</v>
      </c>
      <c r="F2830">
        <v>4</v>
      </c>
      <c r="G2830" t="s">
        <v>1044</v>
      </c>
      <c r="H2830">
        <f>_xlfn.XLOOKUP(D2830, productos!$A$2:$A$150, productos!$D$2:$D$150, "No Encontrado", 0)</f>
        <v>12.56</v>
      </c>
      <c r="I2830">
        <f t="shared" si="44"/>
        <v>37.68</v>
      </c>
    </row>
    <row r="2831" spans="1:9" x14ac:dyDescent="0.25">
      <c r="A2831">
        <v>2893</v>
      </c>
      <c r="B2831" s="1">
        <v>45634</v>
      </c>
      <c r="C2831">
        <v>221</v>
      </c>
      <c r="D2831">
        <v>15</v>
      </c>
      <c r="E2831">
        <v>2</v>
      </c>
      <c r="F2831">
        <v>4</v>
      </c>
      <c r="G2831" t="s">
        <v>1044</v>
      </c>
      <c r="H2831">
        <f>_xlfn.XLOOKUP(D2831, productos!$A$2:$A$150, productos!$D$2:$D$150, "No Encontrado", 0)</f>
        <v>3.51</v>
      </c>
      <c r="I2831">
        <f t="shared" si="44"/>
        <v>7.02</v>
      </c>
    </row>
    <row r="2832" spans="1:9" x14ac:dyDescent="0.25">
      <c r="A2832">
        <v>347</v>
      </c>
      <c r="B2832" s="1">
        <v>45635</v>
      </c>
      <c r="C2832">
        <v>204</v>
      </c>
      <c r="D2832">
        <v>1</v>
      </c>
      <c r="E2832">
        <v>1</v>
      </c>
      <c r="F2832">
        <v>1</v>
      </c>
      <c r="G2832" t="s">
        <v>1044</v>
      </c>
      <c r="H2832">
        <f>_xlfn.XLOOKUP(D2832, productos!$A$2:$A$150, productos!$D$2:$D$150, "No Encontrado", 0)</f>
        <v>12.24</v>
      </c>
      <c r="I2832">
        <f t="shared" si="44"/>
        <v>12.24</v>
      </c>
    </row>
    <row r="2833" spans="1:9" x14ac:dyDescent="0.25">
      <c r="A2833">
        <v>369</v>
      </c>
      <c r="B2833" s="1">
        <v>45635</v>
      </c>
      <c r="C2833">
        <v>96</v>
      </c>
      <c r="D2833">
        <v>10</v>
      </c>
      <c r="E2833">
        <v>1</v>
      </c>
      <c r="F2833">
        <v>5</v>
      </c>
      <c r="G2833" t="s">
        <v>1044</v>
      </c>
      <c r="H2833">
        <f>_xlfn.XLOOKUP(D2833, productos!$A$2:$A$150, productos!$D$2:$D$150, "No Encontrado", 0)</f>
        <v>14.25</v>
      </c>
      <c r="I2833">
        <f t="shared" si="44"/>
        <v>14.25</v>
      </c>
    </row>
    <row r="2834" spans="1:9" x14ac:dyDescent="0.25">
      <c r="A2834">
        <v>436</v>
      </c>
      <c r="B2834" s="1">
        <v>45635</v>
      </c>
      <c r="C2834">
        <v>190</v>
      </c>
      <c r="D2834">
        <v>37</v>
      </c>
      <c r="E2834">
        <v>4</v>
      </c>
      <c r="F2834">
        <v>5</v>
      </c>
      <c r="G2834" t="s">
        <v>1044</v>
      </c>
      <c r="H2834">
        <f>_xlfn.XLOOKUP(D2834, productos!$A$2:$A$150, productos!$D$2:$D$150, "No Encontrado", 0)</f>
        <v>3.65</v>
      </c>
      <c r="I2834">
        <f t="shared" si="44"/>
        <v>14.6</v>
      </c>
    </row>
    <row r="2835" spans="1:9" x14ac:dyDescent="0.25">
      <c r="A2835">
        <v>1011</v>
      </c>
      <c r="B2835" s="1">
        <v>45635</v>
      </c>
      <c r="C2835">
        <v>190</v>
      </c>
      <c r="D2835">
        <v>1</v>
      </c>
      <c r="E2835">
        <v>3</v>
      </c>
      <c r="F2835">
        <v>4</v>
      </c>
      <c r="G2835" t="s">
        <v>1044</v>
      </c>
      <c r="H2835">
        <f>_xlfn.XLOOKUP(D2835, productos!$A$2:$A$150, productos!$D$2:$D$150, "No Encontrado", 0)</f>
        <v>12.24</v>
      </c>
      <c r="I2835">
        <f t="shared" si="44"/>
        <v>36.72</v>
      </c>
    </row>
    <row r="2836" spans="1:9" x14ac:dyDescent="0.25">
      <c r="A2836">
        <v>1063</v>
      </c>
      <c r="B2836" s="1">
        <v>45635</v>
      </c>
      <c r="C2836">
        <v>115</v>
      </c>
      <c r="D2836">
        <v>21</v>
      </c>
      <c r="E2836">
        <v>2</v>
      </c>
      <c r="F2836">
        <v>2</v>
      </c>
      <c r="G2836" t="s">
        <v>1044</v>
      </c>
      <c r="H2836">
        <f>_xlfn.XLOOKUP(D2836, productos!$A$2:$A$150, productos!$D$2:$D$150, "No Encontrado", 0)</f>
        <v>3.25</v>
      </c>
      <c r="I2836">
        <f t="shared" si="44"/>
        <v>6.5</v>
      </c>
    </row>
    <row r="2837" spans="1:9" x14ac:dyDescent="0.25">
      <c r="A2837">
        <v>1256</v>
      </c>
      <c r="B2837" s="1">
        <v>45635</v>
      </c>
      <c r="C2837">
        <v>227</v>
      </c>
      <c r="D2837">
        <v>36</v>
      </c>
      <c r="E2837">
        <v>4</v>
      </c>
      <c r="F2837">
        <v>5</v>
      </c>
      <c r="G2837" t="s">
        <v>1044</v>
      </c>
      <c r="H2837">
        <f>_xlfn.XLOOKUP(D2837, productos!$A$2:$A$150, productos!$D$2:$D$150, "No Encontrado", 0)</f>
        <v>3.25</v>
      </c>
      <c r="I2837">
        <f t="shared" si="44"/>
        <v>13</v>
      </c>
    </row>
    <row r="2838" spans="1:9" x14ac:dyDescent="0.25">
      <c r="A2838">
        <v>1769</v>
      </c>
      <c r="B2838" s="1">
        <v>45635</v>
      </c>
      <c r="C2838">
        <v>284</v>
      </c>
      <c r="D2838">
        <v>27</v>
      </c>
      <c r="E2838">
        <v>4</v>
      </c>
      <c r="F2838">
        <v>3</v>
      </c>
      <c r="G2838" t="s">
        <v>1045</v>
      </c>
      <c r="H2838">
        <f>_xlfn.XLOOKUP(D2838, productos!$A$2:$A$150, productos!$D$2:$D$150, "No Encontrado", 0)</f>
        <v>6.21</v>
      </c>
      <c r="I2838">
        <f t="shared" si="44"/>
        <v>24.84</v>
      </c>
    </row>
    <row r="2839" spans="1:9" x14ac:dyDescent="0.25">
      <c r="A2839">
        <v>1771</v>
      </c>
      <c r="B2839" s="1">
        <v>45635</v>
      </c>
      <c r="C2839">
        <v>169</v>
      </c>
      <c r="D2839">
        <v>21</v>
      </c>
      <c r="E2839">
        <v>1</v>
      </c>
      <c r="F2839">
        <v>3</v>
      </c>
      <c r="G2839" t="s">
        <v>1044</v>
      </c>
      <c r="H2839">
        <f>_xlfn.XLOOKUP(D2839, productos!$A$2:$A$150, productos!$D$2:$D$150, "No Encontrado", 0)</f>
        <v>3.25</v>
      </c>
      <c r="I2839">
        <f t="shared" si="44"/>
        <v>3.25</v>
      </c>
    </row>
    <row r="2840" spans="1:9" x14ac:dyDescent="0.25">
      <c r="A2840">
        <v>1914</v>
      </c>
      <c r="B2840" s="1">
        <v>45635</v>
      </c>
      <c r="C2840">
        <v>212</v>
      </c>
      <c r="D2840">
        <v>28</v>
      </c>
      <c r="E2840">
        <v>3</v>
      </c>
      <c r="F2840">
        <v>1</v>
      </c>
      <c r="G2840" t="s">
        <v>1044</v>
      </c>
      <c r="H2840">
        <f>_xlfn.XLOOKUP(D2840, productos!$A$2:$A$150, productos!$D$2:$D$150, "No Encontrado", 0)</f>
        <v>9.4499999999999993</v>
      </c>
      <c r="I2840">
        <f t="shared" si="44"/>
        <v>28.349999999999998</v>
      </c>
    </row>
    <row r="2841" spans="1:9" x14ac:dyDescent="0.25">
      <c r="A2841">
        <v>2271</v>
      </c>
      <c r="B2841" s="1">
        <v>45635</v>
      </c>
      <c r="C2841">
        <v>45</v>
      </c>
      <c r="D2841">
        <v>36</v>
      </c>
      <c r="E2841">
        <v>1</v>
      </c>
      <c r="F2841">
        <v>3</v>
      </c>
      <c r="G2841" t="s">
        <v>1044</v>
      </c>
      <c r="H2841">
        <f>_xlfn.XLOOKUP(D2841, productos!$A$2:$A$150, productos!$D$2:$D$150, "No Encontrado", 0)</f>
        <v>3.25</v>
      </c>
      <c r="I2841">
        <f t="shared" si="44"/>
        <v>3.25</v>
      </c>
    </row>
    <row r="2842" spans="1:9" x14ac:dyDescent="0.25">
      <c r="A2842">
        <v>2551</v>
      </c>
      <c r="B2842" s="1">
        <v>45635</v>
      </c>
      <c r="C2842">
        <v>171</v>
      </c>
      <c r="D2842">
        <v>9</v>
      </c>
      <c r="E2842">
        <v>2</v>
      </c>
      <c r="F2842">
        <v>1</v>
      </c>
      <c r="G2842" t="s">
        <v>1044</v>
      </c>
      <c r="H2842">
        <f>_xlfn.XLOOKUP(D2842, productos!$A$2:$A$150, productos!$D$2:$D$150, "No Encontrado", 0)</f>
        <v>18.559999999999999</v>
      </c>
      <c r="I2842">
        <f t="shared" si="44"/>
        <v>37.119999999999997</v>
      </c>
    </row>
    <row r="2843" spans="1:9" x14ac:dyDescent="0.25">
      <c r="A2843">
        <v>2593</v>
      </c>
      <c r="B2843" s="1">
        <v>45635</v>
      </c>
      <c r="C2843">
        <v>312</v>
      </c>
      <c r="D2843">
        <v>2</v>
      </c>
      <c r="E2843">
        <v>6</v>
      </c>
      <c r="F2843">
        <v>2</v>
      </c>
      <c r="G2843" t="s">
        <v>1044</v>
      </c>
      <c r="H2843">
        <f>_xlfn.XLOOKUP(D2843, productos!$A$2:$A$150, productos!$D$2:$D$150, "No Encontrado", 0)</f>
        <v>5.21</v>
      </c>
      <c r="I2843">
        <f t="shared" si="44"/>
        <v>31.259999999999998</v>
      </c>
    </row>
    <row r="2844" spans="1:9" x14ac:dyDescent="0.25">
      <c r="A2844">
        <v>2834</v>
      </c>
      <c r="B2844" s="1">
        <v>45635</v>
      </c>
      <c r="C2844">
        <v>123</v>
      </c>
      <c r="D2844">
        <v>26</v>
      </c>
      <c r="E2844">
        <v>1</v>
      </c>
      <c r="F2844">
        <v>3</v>
      </c>
      <c r="G2844" t="s">
        <v>1044</v>
      </c>
      <c r="H2844">
        <f>_xlfn.XLOOKUP(D2844, productos!$A$2:$A$150, productos!$D$2:$D$150, "No Encontrado", 0)</f>
        <v>9.5399999999999991</v>
      </c>
      <c r="I2844">
        <f t="shared" si="44"/>
        <v>9.5399999999999991</v>
      </c>
    </row>
    <row r="2845" spans="1:9" x14ac:dyDescent="0.25">
      <c r="A2845">
        <v>1043</v>
      </c>
      <c r="B2845" s="1">
        <v>45636</v>
      </c>
      <c r="C2845">
        <v>96</v>
      </c>
      <c r="D2845">
        <v>21</v>
      </c>
      <c r="E2845">
        <v>4</v>
      </c>
      <c r="F2845">
        <v>5</v>
      </c>
      <c r="G2845" t="s">
        <v>1044</v>
      </c>
      <c r="H2845">
        <f>_xlfn.XLOOKUP(D2845, productos!$A$2:$A$150, productos!$D$2:$D$150, "No Encontrado", 0)</f>
        <v>3.25</v>
      </c>
      <c r="I2845">
        <f t="shared" si="44"/>
        <v>13</v>
      </c>
    </row>
    <row r="2846" spans="1:9" x14ac:dyDescent="0.25">
      <c r="A2846">
        <v>1057</v>
      </c>
      <c r="B2846" s="1">
        <v>45636</v>
      </c>
      <c r="C2846">
        <v>265</v>
      </c>
      <c r="D2846">
        <v>4</v>
      </c>
      <c r="E2846">
        <v>4</v>
      </c>
      <c r="F2846">
        <v>2</v>
      </c>
      <c r="G2846" t="s">
        <v>1044</v>
      </c>
      <c r="H2846">
        <f>_xlfn.XLOOKUP(D2846, productos!$A$2:$A$150, productos!$D$2:$D$150, "No Encontrado", 0)</f>
        <v>19.23</v>
      </c>
      <c r="I2846">
        <f t="shared" si="44"/>
        <v>76.92</v>
      </c>
    </row>
    <row r="2847" spans="1:9" x14ac:dyDescent="0.25">
      <c r="A2847">
        <v>1284</v>
      </c>
      <c r="B2847" s="1">
        <v>45636</v>
      </c>
      <c r="C2847">
        <v>147</v>
      </c>
      <c r="D2847">
        <v>11</v>
      </c>
      <c r="E2847">
        <v>2</v>
      </c>
      <c r="F2847">
        <v>5</v>
      </c>
      <c r="G2847" t="s">
        <v>1045</v>
      </c>
      <c r="H2847">
        <f>_xlfn.XLOOKUP(D2847, productos!$A$2:$A$150, productos!$D$2:$D$150, "No Encontrado", 0)</f>
        <v>11.23</v>
      </c>
      <c r="I2847">
        <f t="shared" si="44"/>
        <v>22.46</v>
      </c>
    </row>
    <row r="2848" spans="1:9" x14ac:dyDescent="0.25">
      <c r="A2848">
        <v>1816</v>
      </c>
      <c r="B2848" s="1">
        <v>45636</v>
      </c>
      <c r="C2848">
        <v>210</v>
      </c>
      <c r="D2848">
        <v>6</v>
      </c>
      <c r="E2848">
        <v>6</v>
      </c>
      <c r="F2848">
        <v>5</v>
      </c>
      <c r="G2848" t="s">
        <v>1045</v>
      </c>
      <c r="H2848">
        <f>_xlfn.XLOOKUP(D2848, productos!$A$2:$A$150, productos!$D$2:$D$150, "No Encontrado", 0)</f>
        <v>28.56</v>
      </c>
      <c r="I2848">
        <f t="shared" si="44"/>
        <v>171.35999999999999</v>
      </c>
    </row>
    <row r="2849" spans="1:9" x14ac:dyDescent="0.25">
      <c r="A2849">
        <v>2320</v>
      </c>
      <c r="B2849" s="1">
        <v>45636</v>
      </c>
      <c r="C2849">
        <v>317</v>
      </c>
      <c r="D2849">
        <v>33</v>
      </c>
      <c r="E2849">
        <v>2</v>
      </c>
      <c r="F2849">
        <v>1</v>
      </c>
      <c r="G2849" t="s">
        <v>1044</v>
      </c>
      <c r="H2849">
        <f>_xlfn.XLOOKUP(D2849, productos!$A$2:$A$150, productos!$D$2:$D$150, "No Encontrado", 0)</f>
        <v>8.5399999999999991</v>
      </c>
      <c r="I2849">
        <f t="shared" si="44"/>
        <v>17.079999999999998</v>
      </c>
    </row>
    <row r="2850" spans="1:9" x14ac:dyDescent="0.25">
      <c r="A2850">
        <v>374</v>
      </c>
      <c r="B2850" s="1">
        <v>45637</v>
      </c>
      <c r="C2850">
        <v>17</v>
      </c>
      <c r="D2850">
        <v>6</v>
      </c>
      <c r="E2850">
        <v>6</v>
      </c>
      <c r="F2850">
        <v>1</v>
      </c>
      <c r="G2850" t="s">
        <v>1044</v>
      </c>
      <c r="H2850">
        <f>_xlfn.XLOOKUP(D2850, productos!$A$2:$A$150, productos!$D$2:$D$150, "No Encontrado", 0)</f>
        <v>28.56</v>
      </c>
      <c r="I2850">
        <f t="shared" si="44"/>
        <v>171.35999999999999</v>
      </c>
    </row>
    <row r="2851" spans="1:9" x14ac:dyDescent="0.25">
      <c r="A2851">
        <v>482</v>
      </c>
      <c r="B2851" s="1">
        <v>45637</v>
      </c>
      <c r="C2851">
        <v>76</v>
      </c>
      <c r="D2851">
        <v>38</v>
      </c>
      <c r="E2851">
        <v>6</v>
      </c>
      <c r="F2851">
        <v>3</v>
      </c>
      <c r="G2851" t="s">
        <v>1044</v>
      </c>
      <c r="H2851">
        <f>_xlfn.XLOOKUP(D2851, productos!$A$2:$A$150, productos!$D$2:$D$150, "No Encontrado", 0)</f>
        <v>6.21</v>
      </c>
      <c r="I2851">
        <f t="shared" si="44"/>
        <v>37.26</v>
      </c>
    </row>
    <row r="2852" spans="1:9" x14ac:dyDescent="0.25">
      <c r="A2852">
        <v>1817</v>
      </c>
      <c r="B2852" s="1">
        <v>45637</v>
      </c>
      <c r="C2852">
        <v>73</v>
      </c>
      <c r="D2852">
        <v>29</v>
      </c>
      <c r="E2852">
        <v>6</v>
      </c>
      <c r="F2852">
        <v>4</v>
      </c>
      <c r="G2852" t="s">
        <v>1044</v>
      </c>
      <c r="H2852">
        <f>_xlfn.XLOOKUP(D2852, productos!$A$2:$A$150, productos!$D$2:$D$150, "No Encontrado", 0)</f>
        <v>11.54</v>
      </c>
      <c r="I2852">
        <f t="shared" si="44"/>
        <v>69.239999999999995</v>
      </c>
    </row>
    <row r="2853" spans="1:9" x14ac:dyDescent="0.25">
      <c r="A2853">
        <v>2287</v>
      </c>
      <c r="B2853" s="1">
        <v>45637</v>
      </c>
      <c r="C2853">
        <v>5</v>
      </c>
      <c r="D2853">
        <v>13</v>
      </c>
      <c r="E2853">
        <v>5</v>
      </c>
      <c r="F2853">
        <v>3</v>
      </c>
      <c r="G2853" t="s">
        <v>1044</v>
      </c>
      <c r="H2853">
        <f>_xlfn.XLOOKUP(D2853, productos!$A$2:$A$150, productos!$D$2:$D$150, "No Encontrado", 0)</f>
        <v>12.56</v>
      </c>
      <c r="I2853">
        <f t="shared" si="44"/>
        <v>62.800000000000004</v>
      </c>
    </row>
    <row r="2854" spans="1:9" x14ac:dyDescent="0.25">
      <c r="A2854">
        <v>2756</v>
      </c>
      <c r="B2854" s="1">
        <v>45637</v>
      </c>
      <c r="C2854">
        <v>207</v>
      </c>
      <c r="D2854">
        <v>15</v>
      </c>
      <c r="E2854">
        <v>2</v>
      </c>
      <c r="F2854">
        <v>2</v>
      </c>
      <c r="G2854" t="s">
        <v>1044</v>
      </c>
      <c r="H2854">
        <f>_xlfn.XLOOKUP(D2854, productos!$A$2:$A$150, productos!$D$2:$D$150, "No Encontrado", 0)</f>
        <v>3.51</v>
      </c>
      <c r="I2854">
        <f t="shared" si="44"/>
        <v>7.02</v>
      </c>
    </row>
    <row r="2855" spans="1:9" x14ac:dyDescent="0.25">
      <c r="A2855">
        <v>2814</v>
      </c>
      <c r="B2855" s="1">
        <v>45637</v>
      </c>
      <c r="C2855">
        <v>29</v>
      </c>
      <c r="D2855">
        <v>32</v>
      </c>
      <c r="E2855">
        <v>4</v>
      </c>
      <c r="F2855">
        <v>4</v>
      </c>
      <c r="G2855" t="s">
        <v>1045</v>
      </c>
      <c r="H2855">
        <f>_xlfn.XLOOKUP(D2855, productos!$A$2:$A$150, productos!$D$2:$D$150, "No Encontrado", 0)</f>
        <v>6.25</v>
      </c>
      <c r="I2855">
        <f t="shared" si="44"/>
        <v>25</v>
      </c>
    </row>
    <row r="2856" spans="1:9" x14ac:dyDescent="0.25">
      <c r="A2856">
        <v>877</v>
      </c>
      <c r="B2856" s="1">
        <v>45638</v>
      </c>
      <c r="C2856">
        <v>280</v>
      </c>
      <c r="D2856">
        <v>11</v>
      </c>
      <c r="E2856">
        <v>6</v>
      </c>
      <c r="F2856">
        <v>5</v>
      </c>
      <c r="G2856" t="s">
        <v>1044</v>
      </c>
      <c r="H2856">
        <f>_xlfn.XLOOKUP(D2856, productos!$A$2:$A$150, productos!$D$2:$D$150, "No Encontrado", 0)</f>
        <v>11.23</v>
      </c>
      <c r="I2856">
        <f t="shared" si="44"/>
        <v>67.38</v>
      </c>
    </row>
    <row r="2857" spans="1:9" x14ac:dyDescent="0.25">
      <c r="A2857">
        <v>1846</v>
      </c>
      <c r="B2857" s="1">
        <v>45638</v>
      </c>
      <c r="C2857">
        <v>23</v>
      </c>
      <c r="D2857">
        <v>12</v>
      </c>
      <c r="E2857">
        <v>5</v>
      </c>
      <c r="F2857">
        <v>4</v>
      </c>
      <c r="G2857" t="s">
        <v>1044</v>
      </c>
      <c r="H2857">
        <f>_xlfn.XLOOKUP(D2857, productos!$A$2:$A$150, productos!$D$2:$D$150, "No Encontrado", 0)</f>
        <v>8.1199999999999992</v>
      </c>
      <c r="I2857">
        <f t="shared" si="44"/>
        <v>40.599999999999994</v>
      </c>
    </row>
    <row r="2858" spans="1:9" x14ac:dyDescent="0.25">
      <c r="A2858">
        <v>2486</v>
      </c>
      <c r="B2858" s="1">
        <v>45638</v>
      </c>
      <c r="C2858">
        <v>81</v>
      </c>
      <c r="D2858">
        <v>6</v>
      </c>
      <c r="E2858">
        <v>2</v>
      </c>
      <c r="F2858">
        <v>1</v>
      </c>
      <c r="G2858" t="s">
        <v>1044</v>
      </c>
      <c r="H2858">
        <f>_xlfn.XLOOKUP(D2858, productos!$A$2:$A$150, productos!$D$2:$D$150, "No Encontrado", 0)</f>
        <v>28.56</v>
      </c>
      <c r="I2858">
        <f t="shared" si="44"/>
        <v>57.12</v>
      </c>
    </row>
    <row r="2859" spans="1:9" x14ac:dyDescent="0.25">
      <c r="A2859">
        <v>2675</v>
      </c>
      <c r="B2859" s="1">
        <v>45638</v>
      </c>
      <c r="C2859">
        <v>285</v>
      </c>
      <c r="D2859">
        <v>28</v>
      </c>
      <c r="E2859">
        <v>2</v>
      </c>
      <c r="F2859">
        <v>1</v>
      </c>
      <c r="G2859" t="s">
        <v>1044</v>
      </c>
      <c r="H2859">
        <f>_xlfn.XLOOKUP(D2859, productos!$A$2:$A$150, productos!$D$2:$D$150, "No Encontrado", 0)</f>
        <v>9.4499999999999993</v>
      </c>
      <c r="I2859">
        <f t="shared" si="44"/>
        <v>18.899999999999999</v>
      </c>
    </row>
    <row r="2860" spans="1:9" x14ac:dyDescent="0.25">
      <c r="A2860">
        <v>787</v>
      </c>
      <c r="B2860" s="1">
        <v>45639</v>
      </c>
      <c r="C2860">
        <v>325</v>
      </c>
      <c r="D2860">
        <v>27</v>
      </c>
      <c r="E2860">
        <v>6</v>
      </c>
      <c r="F2860">
        <v>1</v>
      </c>
      <c r="G2860" t="s">
        <v>1044</v>
      </c>
      <c r="H2860">
        <f>_xlfn.XLOOKUP(D2860, productos!$A$2:$A$150, productos!$D$2:$D$150, "No Encontrado", 0)</f>
        <v>6.21</v>
      </c>
      <c r="I2860">
        <f t="shared" si="44"/>
        <v>37.26</v>
      </c>
    </row>
    <row r="2861" spans="1:9" x14ac:dyDescent="0.25">
      <c r="A2861">
        <v>1206</v>
      </c>
      <c r="B2861" s="1">
        <v>45639</v>
      </c>
      <c r="C2861">
        <v>177</v>
      </c>
      <c r="D2861">
        <v>25</v>
      </c>
      <c r="E2861">
        <v>5</v>
      </c>
      <c r="F2861">
        <v>5</v>
      </c>
      <c r="G2861" t="s">
        <v>1044</v>
      </c>
      <c r="H2861">
        <f>_xlfn.XLOOKUP(D2861, productos!$A$2:$A$150, productos!$D$2:$D$150, "No Encontrado", 0)</f>
        <v>15.45</v>
      </c>
      <c r="I2861">
        <f t="shared" si="44"/>
        <v>77.25</v>
      </c>
    </row>
    <row r="2862" spans="1:9" x14ac:dyDescent="0.25">
      <c r="A2862">
        <v>1532</v>
      </c>
      <c r="B2862" s="1">
        <v>45639</v>
      </c>
      <c r="C2862">
        <v>218</v>
      </c>
      <c r="D2862">
        <v>22</v>
      </c>
      <c r="E2862">
        <v>1</v>
      </c>
      <c r="F2862">
        <v>5</v>
      </c>
      <c r="G2862" t="s">
        <v>1044</v>
      </c>
      <c r="H2862">
        <f>_xlfn.XLOOKUP(D2862, productos!$A$2:$A$150, productos!$D$2:$D$150, "No Encontrado", 0)</f>
        <v>4.21</v>
      </c>
      <c r="I2862">
        <f t="shared" si="44"/>
        <v>4.21</v>
      </c>
    </row>
    <row r="2863" spans="1:9" x14ac:dyDescent="0.25">
      <c r="A2863">
        <v>2085</v>
      </c>
      <c r="B2863" s="1">
        <v>45639</v>
      </c>
      <c r="C2863">
        <v>46</v>
      </c>
      <c r="D2863">
        <v>8</v>
      </c>
      <c r="E2863">
        <v>1</v>
      </c>
      <c r="F2863">
        <v>4</v>
      </c>
      <c r="G2863" t="s">
        <v>1044</v>
      </c>
      <c r="H2863">
        <f>_xlfn.XLOOKUP(D2863, productos!$A$2:$A$150, productos!$D$2:$D$150, "No Encontrado", 0)</f>
        <v>16.21</v>
      </c>
      <c r="I2863">
        <f t="shared" si="44"/>
        <v>16.21</v>
      </c>
    </row>
    <row r="2864" spans="1:9" x14ac:dyDescent="0.25">
      <c r="A2864">
        <v>2233</v>
      </c>
      <c r="B2864" s="1">
        <v>45639</v>
      </c>
      <c r="C2864">
        <v>1</v>
      </c>
      <c r="D2864">
        <v>32</v>
      </c>
      <c r="E2864">
        <v>5</v>
      </c>
      <c r="F2864">
        <v>3</v>
      </c>
      <c r="G2864" t="s">
        <v>1044</v>
      </c>
      <c r="H2864">
        <f>_xlfn.XLOOKUP(D2864, productos!$A$2:$A$150, productos!$D$2:$D$150, "No Encontrado", 0)</f>
        <v>6.25</v>
      </c>
      <c r="I2864">
        <f t="shared" si="44"/>
        <v>31.25</v>
      </c>
    </row>
    <row r="2865" spans="1:9" x14ac:dyDescent="0.25">
      <c r="A2865">
        <v>2340</v>
      </c>
      <c r="B2865" s="1">
        <v>45639</v>
      </c>
      <c r="C2865">
        <v>76</v>
      </c>
      <c r="D2865">
        <v>38</v>
      </c>
      <c r="E2865">
        <v>6</v>
      </c>
      <c r="F2865">
        <v>3</v>
      </c>
      <c r="G2865" t="s">
        <v>1044</v>
      </c>
      <c r="H2865">
        <f>_xlfn.XLOOKUP(D2865, productos!$A$2:$A$150, productos!$D$2:$D$150, "No Encontrado", 0)</f>
        <v>6.21</v>
      </c>
      <c r="I2865">
        <f t="shared" si="44"/>
        <v>37.26</v>
      </c>
    </row>
    <row r="2866" spans="1:9" x14ac:dyDescent="0.25">
      <c r="A2866">
        <v>2401</v>
      </c>
      <c r="B2866" s="1">
        <v>45639</v>
      </c>
      <c r="C2866">
        <v>217</v>
      </c>
      <c r="D2866">
        <v>35</v>
      </c>
      <c r="E2866">
        <v>2</v>
      </c>
      <c r="F2866">
        <v>2</v>
      </c>
      <c r="G2866" t="s">
        <v>1044</v>
      </c>
      <c r="H2866">
        <f>_xlfn.XLOOKUP(D2866, productos!$A$2:$A$150, productos!$D$2:$D$150, "No Encontrado", 0)</f>
        <v>4.25</v>
      </c>
      <c r="I2866">
        <f t="shared" si="44"/>
        <v>8.5</v>
      </c>
    </row>
    <row r="2867" spans="1:9" x14ac:dyDescent="0.25">
      <c r="A2867">
        <v>780</v>
      </c>
      <c r="B2867" s="1">
        <v>45640</v>
      </c>
      <c r="C2867">
        <v>140</v>
      </c>
      <c r="D2867">
        <v>15</v>
      </c>
      <c r="E2867">
        <v>3</v>
      </c>
      <c r="F2867">
        <v>1</v>
      </c>
      <c r="G2867" t="s">
        <v>1044</v>
      </c>
      <c r="H2867">
        <f>_xlfn.XLOOKUP(D2867, productos!$A$2:$A$150, productos!$D$2:$D$150, "No Encontrado", 0)</f>
        <v>3.51</v>
      </c>
      <c r="I2867">
        <f t="shared" si="44"/>
        <v>10.53</v>
      </c>
    </row>
    <row r="2868" spans="1:9" x14ac:dyDescent="0.25">
      <c r="A2868">
        <v>1706</v>
      </c>
      <c r="B2868" s="1">
        <v>45640</v>
      </c>
      <c r="C2868">
        <v>94</v>
      </c>
      <c r="D2868">
        <v>23</v>
      </c>
      <c r="E2868">
        <v>2</v>
      </c>
      <c r="F2868">
        <v>5</v>
      </c>
      <c r="G2868" t="s">
        <v>1044</v>
      </c>
      <c r="H2868">
        <f>_xlfn.XLOOKUP(D2868, productos!$A$2:$A$150, productos!$D$2:$D$150, "No Encontrado", 0)</f>
        <v>8.23</v>
      </c>
      <c r="I2868">
        <f t="shared" si="44"/>
        <v>16.46</v>
      </c>
    </row>
    <row r="2869" spans="1:9" x14ac:dyDescent="0.25">
      <c r="A2869">
        <v>2033</v>
      </c>
      <c r="B2869" s="1">
        <v>45640</v>
      </c>
      <c r="C2869">
        <v>308</v>
      </c>
      <c r="D2869">
        <v>4</v>
      </c>
      <c r="E2869">
        <v>4</v>
      </c>
      <c r="F2869">
        <v>5</v>
      </c>
      <c r="G2869" t="s">
        <v>1044</v>
      </c>
      <c r="H2869">
        <f>_xlfn.XLOOKUP(D2869, productos!$A$2:$A$150, productos!$D$2:$D$150, "No Encontrado", 0)</f>
        <v>19.23</v>
      </c>
      <c r="I2869">
        <f t="shared" si="44"/>
        <v>76.92</v>
      </c>
    </row>
    <row r="2870" spans="1:9" x14ac:dyDescent="0.25">
      <c r="A2870">
        <v>2704</v>
      </c>
      <c r="B2870" s="1">
        <v>45640</v>
      </c>
      <c r="C2870">
        <v>14</v>
      </c>
      <c r="D2870">
        <v>17</v>
      </c>
      <c r="E2870">
        <v>5</v>
      </c>
      <c r="F2870">
        <v>1</v>
      </c>
      <c r="G2870" t="s">
        <v>1044</v>
      </c>
      <c r="H2870">
        <f>_xlfn.XLOOKUP(D2870, productos!$A$2:$A$150, productos!$D$2:$D$150, "No Encontrado", 0)</f>
        <v>6.54</v>
      </c>
      <c r="I2870">
        <f t="shared" si="44"/>
        <v>32.700000000000003</v>
      </c>
    </row>
    <row r="2871" spans="1:9" x14ac:dyDescent="0.25">
      <c r="A2871">
        <v>2875</v>
      </c>
      <c r="B2871" s="1">
        <v>45640</v>
      </c>
      <c r="C2871">
        <v>148</v>
      </c>
      <c r="D2871">
        <v>19</v>
      </c>
      <c r="E2871">
        <v>1</v>
      </c>
      <c r="F2871">
        <v>2</v>
      </c>
      <c r="G2871" t="s">
        <v>1044</v>
      </c>
      <c r="H2871">
        <f>_xlfn.XLOOKUP(D2871, productos!$A$2:$A$150, productos!$D$2:$D$150, "No Encontrado", 0)</f>
        <v>6.54</v>
      </c>
      <c r="I2871">
        <f t="shared" si="44"/>
        <v>6.54</v>
      </c>
    </row>
    <row r="2872" spans="1:9" x14ac:dyDescent="0.25">
      <c r="A2872">
        <v>409</v>
      </c>
      <c r="B2872" s="1">
        <v>45641</v>
      </c>
      <c r="C2872">
        <v>34</v>
      </c>
      <c r="D2872">
        <v>27</v>
      </c>
      <c r="E2872">
        <v>6</v>
      </c>
      <c r="F2872">
        <v>4</v>
      </c>
      <c r="G2872" t="s">
        <v>1044</v>
      </c>
      <c r="H2872">
        <f>_xlfn.XLOOKUP(D2872, productos!$A$2:$A$150, productos!$D$2:$D$150, "No Encontrado", 0)</f>
        <v>6.21</v>
      </c>
      <c r="I2872">
        <f t="shared" si="44"/>
        <v>37.26</v>
      </c>
    </row>
    <row r="2873" spans="1:9" x14ac:dyDescent="0.25">
      <c r="A2873">
        <v>1146</v>
      </c>
      <c r="B2873" s="1">
        <v>45641</v>
      </c>
      <c r="C2873">
        <v>187</v>
      </c>
      <c r="D2873">
        <v>28</v>
      </c>
      <c r="E2873">
        <v>3</v>
      </c>
      <c r="F2873">
        <v>5</v>
      </c>
      <c r="G2873" t="s">
        <v>1044</v>
      </c>
      <c r="H2873">
        <f>_xlfn.XLOOKUP(D2873, productos!$A$2:$A$150, productos!$D$2:$D$150, "No Encontrado", 0)</f>
        <v>9.4499999999999993</v>
      </c>
      <c r="I2873">
        <f t="shared" si="44"/>
        <v>28.349999999999998</v>
      </c>
    </row>
    <row r="2874" spans="1:9" x14ac:dyDescent="0.25">
      <c r="A2874">
        <v>1457</v>
      </c>
      <c r="B2874" s="1">
        <v>45641</v>
      </c>
      <c r="C2874">
        <v>284</v>
      </c>
      <c r="D2874">
        <v>37</v>
      </c>
      <c r="E2874">
        <v>1</v>
      </c>
      <c r="F2874">
        <v>4</v>
      </c>
      <c r="G2874" t="s">
        <v>1044</v>
      </c>
      <c r="H2874">
        <f>_xlfn.XLOOKUP(D2874, productos!$A$2:$A$150, productos!$D$2:$D$150, "No Encontrado", 0)</f>
        <v>3.65</v>
      </c>
      <c r="I2874">
        <f t="shared" si="44"/>
        <v>3.65</v>
      </c>
    </row>
    <row r="2875" spans="1:9" x14ac:dyDescent="0.25">
      <c r="A2875">
        <v>1631</v>
      </c>
      <c r="B2875" s="1">
        <v>45641</v>
      </c>
      <c r="C2875">
        <v>189</v>
      </c>
      <c r="D2875">
        <v>36</v>
      </c>
      <c r="E2875">
        <v>1</v>
      </c>
      <c r="F2875">
        <v>5</v>
      </c>
      <c r="G2875" t="s">
        <v>1045</v>
      </c>
      <c r="H2875">
        <f>_xlfn.XLOOKUP(D2875, productos!$A$2:$A$150, productos!$D$2:$D$150, "No Encontrado", 0)</f>
        <v>3.25</v>
      </c>
      <c r="I2875">
        <f t="shared" si="44"/>
        <v>3.25</v>
      </c>
    </row>
    <row r="2876" spans="1:9" x14ac:dyDescent="0.25">
      <c r="A2876">
        <v>1918</v>
      </c>
      <c r="B2876" s="1">
        <v>45641</v>
      </c>
      <c r="C2876">
        <v>216</v>
      </c>
      <c r="D2876">
        <v>3</v>
      </c>
      <c r="E2876">
        <v>5</v>
      </c>
      <c r="F2876">
        <v>4</v>
      </c>
      <c r="G2876" t="s">
        <v>1045</v>
      </c>
      <c r="H2876">
        <f>_xlfn.XLOOKUP(D2876, productos!$A$2:$A$150, productos!$D$2:$D$150, "No Encontrado", 0)</f>
        <v>17.23</v>
      </c>
      <c r="I2876">
        <f t="shared" si="44"/>
        <v>86.15</v>
      </c>
    </row>
    <row r="2877" spans="1:9" x14ac:dyDescent="0.25">
      <c r="A2877">
        <v>332</v>
      </c>
      <c r="B2877" s="1">
        <v>45642</v>
      </c>
      <c r="C2877">
        <v>309</v>
      </c>
      <c r="D2877">
        <v>14</v>
      </c>
      <c r="E2877">
        <v>3</v>
      </c>
      <c r="F2877">
        <v>5</v>
      </c>
      <c r="G2877" t="s">
        <v>1044</v>
      </c>
      <c r="H2877">
        <f>_xlfn.XLOOKUP(D2877, productos!$A$2:$A$150, productos!$D$2:$D$150, "No Encontrado", 0)</f>
        <v>12.36</v>
      </c>
      <c r="I2877">
        <f t="shared" si="44"/>
        <v>37.08</v>
      </c>
    </row>
    <row r="2878" spans="1:9" x14ac:dyDescent="0.25">
      <c r="A2878">
        <v>334</v>
      </c>
      <c r="B2878" s="1">
        <v>45642</v>
      </c>
      <c r="C2878">
        <v>286</v>
      </c>
      <c r="D2878">
        <v>24</v>
      </c>
      <c r="E2878">
        <v>4</v>
      </c>
      <c r="F2878">
        <v>1</v>
      </c>
      <c r="G2878" t="s">
        <v>1045</v>
      </c>
      <c r="H2878">
        <f>_xlfn.XLOOKUP(D2878, productos!$A$2:$A$150, productos!$D$2:$D$150, "No Encontrado", 0)</f>
        <v>13.54</v>
      </c>
      <c r="I2878">
        <f t="shared" si="44"/>
        <v>54.16</v>
      </c>
    </row>
    <row r="2879" spans="1:9" x14ac:dyDescent="0.25">
      <c r="A2879">
        <v>352</v>
      </c>
      <c r="B2879" s="1">
        <v>45642</v>
      </c>
      <c r="C2879">
        <v>286</v>
      </c>
      <c r="D2879">
        <v>25</v>
      </c>
      <c r="E2879">
        <v>6</v>
      </c>
      <c r="F2879">
        <v>5</v>
      </c>
      <c r="G2879" t="s">
        <v>1044</v>
      </c>
      <c r="H2879">
        <f>_xlfn.XLOOKUP(D2879, productos!$A$2:$A$150, productos!$D$2:$D$150, "No Encontrado", 0)</f>
        <v>15.45</v>
      </c>
      <c r="I2879">
        <f t="shared" si="44"/>
        <v>92.699999999999989</v>
      </c>
    </row>
    <row r="2880" spans="1:9" x14ac:dyDescent="0.25">
      <c r="A2880">
        <v>355</v>
      </c>
      <c r="B2880" s="1">
        <v>45642</v>
      </c>
      <c r="C2880">
        <v>308</v>
      </c>
      <c r="D2880">
        <v>25</v>
      </c>
      <c r="E2880">
        <v>5</v>
      </c>
      <c r="F2880">
        <v>5</v>
      </c>
      <c r="G2880" t="s">
        <v>1044</v>
      </c>
      <c r="H2880">
        <f>_xlfn.XLOOKUP(D2880, productos!$A$2:$A$150, productos!$D$2:$D$150, "No Encontrado", 0)</f>
        <v>15.45</v>
      </c>
      <c r="I2880">
        <f t="shared" si="44"/>
        <v>77.25</v>
      </c>
    </row>
    <row r="2881" spans="1:9" x14ac:dyDescent="0.25">
      <c r="A2881">
        <v>360</v>
      </c>
      <c r="B2881" s="1">
        <v>45642</v>
      </c>
      <c r="C2881">
        <v>139</v>
      </c>
      <c r="D2881">
        <v>12</v>
      </c>
      <c r="E2881">
        <v>1</v>
      </c>
      <c r="F2881">
        <v>4</v>
      </c>
      <c r="G2881" t="s">
        <v>1044</v>
      </c>
      <c r="H2881">
        <f>_xlfn.XLOOKUP(D2881, productos!$A$2:$A$150, productos!$D$2:$D$150, "No Encontrado", 0)</f>
        <v>8.1199999999999992</v>
      </c>
      <c r="I2881">
        <f t="shared" si="44"/>
        <v>8.1199999999999992</v>
      </c>
    </row>
    <row r="2882" spans="1:9" x14ac:dyDescent="0.25">
      <c r="A2882">
        <v>389</v>
      </c>
      <c r="B2882" s="1">
        <v>45642</v>
      </c>
      <c r="C2882">
        <v>174</v>
      </c>
      <c r="D2882">
        <v>7</v>
      </c>
      <c r="E2882">
        <v>4</v>
      </c>
      <c r="F2882">
        <v>1</v>
      </c>
      <c r="G2882" t="s">
        <v>1044</v>
      </c>
      <c r="H2882">
        <f>_xlfn.XLOOKUP(D2882, productos!$A$2:$A$150, productos!$D$2:$D$150, "No Encontrado", 0)</f>
        <v>11.25</v>
      </c>
      <c r="I2882">
        <f t="shared" si="44"/>
        <v>45</v>
      </c>
    </row>
    <row r="2883" spans="1:9" x14ac:dyDescent="0.25">
      <c r="A2883">
        <v>504</v>
      </c>
      <c r="B2883" s="1">
        <v>45642</v>
      </c>
      <c r="C2883">
        <v>179</v>
      </c>
      <c r="D2883">
        <v>18</v>
      </c>
      <c r="E2883">
        <v>6</v>
      </c>
      <c r="F2883">
        <v>5</v>
      </c>
      <c r="G2883" t="s">
        <v>1044</v>
      </c>
      <c r="H2883">
        <f>_xlfn.XLOOKUP(D2883, productos!$A$2:$A$150, productos!$D$2:$D$150, "No Encontrado", 0)</f>
        <v>7.25</v>
      </c>
      <c r="I2883">
        <f t="shared" ref="I2883:I2946" si="45">E2883*H2883</f>
        <v>43.5</v>
      </c>
    </row>
    <row r="2884" spans="1:9" x14ac:dyDescent="0.25">
      <c r="A2884">
        <v>589</v>
      </c>
      <c r="B2884" s="1">
        <v>45642</v>
      </c>
      <c r="C2884">
        <v>159</v>
      </c>
      <c r="D2884">
        <v>16</v>
      </c>
      <c r="E2884">
        <v>4</v>
      </c>
      <c r="F2884">
        <v>3</v>
      </c>
      <c r="G2884" t="s">
        <v>1044</v>
      </c>
      <c r="H2884">
        <f>_xlfn.XLOOKUP(D2884, productos!$A$2:$A$150, productos!$D$2:$D$150, "No Encontrado", 0)</f>
        <v>15.23</v>
      </c>
      <c r="I2884">
        <f t="shared" si="45"/>
        <v>60.92</v>
      </c>
    </row>
    <row r="2885" spans="1:9" x14ac:dyDescent="0.25">
      <c r="A2885">
        <v>961</v>
      </c>
      <c r="B2885" s="1">
        <v>45642</v>
      </c>
      <c r="C2885">
        <v>154</v>
      </c>
      <c r="D2885">
        <v>15</v>
      </c>
      <c r="E2885">
        <v>3</v>
      </c>
      <c r="F2885">
        <v>5</v>
      </c>
      <c r="G2885" t="s">
        <v>1044</v>
      </c>
      <c r="H2885">
        <f>_xlfn.XLOOKUP(D2885, productos!$A$2:$A$150, productos!$D$2:$D$150, "No Encontrado", 0)</f>
        <v>3.51</v>
      </c>
      <c r="I2885">
        <f t="shared" si="45"/>
        <v>10.53</v>
      </c>
    </row>
    <row r="2886" spans="1:9" x14ac:dyDescent="0.25">
      <c r="A2886">
        <v>1856</v>
      </c>
      <c r="B2886" s="1">
        <v>45642</v>
      </c>
      <c r="C2886">
        <v>151</v>
      </c>
      <c r="D2886">
        <v>13</v>
      </c>
      <c r="E2886">
        <v>6</v>
      </c>
      <c r="F2886">
        <v>1</v>
      </c>
      <c r="G2886" t="s">
        <v>1044</v>
      </c>
      <c r="H2886">
        <f>_xlfn.XLOOKUP(D2886, productos!$A$2:$A$150, productos!$D$2:$D$150, "No Encontrado", 0)</f>
        <v>12.56</v>
      </c>
      <c r="I2886">
        <f t="shared" si="45"/>
        <v>75.36</v>
      </c>
    </row>
    <row r="2887" spans="1:9" x14ac:dyDescent="0.25">
      <c r="A2887">
        <v>1940</v>
      </c>
      <c r="B2887" s="1">
        <v>45642</v>
      </c>
      <c r="C2887">
        <v>87</v>
      </c>
      <c r="D2887">
        <v>28</v>
      </c>
      <c r="E2887">
        <v>5</v>
      </c>
      <c r="F2887">
        <v>5</v>
      </c>
      <c r="G2887" t="s">
        <v>1044</v>
      </c>
      <c r="H2887">
        <f>_xlfn.XLOOKUP(D2887, productos!$A$2:$A$150, productos!$D$2:$D$150, "No Encontrado", 0)</f>
        <v>9.4499999999999993</v>
      </c>
      <c r="I2887">
        <f t="shared" si="45"/>
        <v>47.25</v>
      </c>
    </row>
    <row r="2888" spans="1:9" x14ac:dyDescent="0.25">
      <c r="A2888">
        <v>2016</v>
      </c>
      <c r="B2888" s="1">
        <v>45642</v>
      </c>
      <c r="C2888">
        <v>58</v>
      </c>
      <c r="D2888">
        <v>34</v>
      </c>
      <c r="E2888">
        <v>3</v>
      </c>
      <c r="F2888">
        <v>1</v>
      </c>
      <c r="G2888" t="s">
        <v>1044</v>
      </c>
      <c r="H2888">
        <f>_xlfn.XLOOKUP(D2888, productos!$A$2:$A$150, productos!$D$2:$D$150, "No Encontrado", 0)</f>
        <v>5.45</v>
      </c>
      <c r="I2888">
        <f t="shared" si="45"/>
        <v>16.350000000000001</v>
      </c>
    </row>
    <row r="2889" spans="1:9" x14ac:dyDescent="0.25">
      <c r="A2889">
        <v>1047</v>
      </c>
      <c r="B2889" s="1">
        <v>45643</v>
      </c>
      <c r="C2889">
        <v>235</v>
      </c>
      <c r="D2889">
        <v>7</v>
      </c>
      <c r="E2889">
        <v>2</v>
      </c>
      <c r="F2889">
        <v>4</v>
      </c>
      <c r="G2889" t="s">
        <v>1045</v>
      </c>
      <c r="H2889">
        <f>_xlfn.XLOOKUP(D2889, productos!$A$2:$A$150, productos!$D$2:$D$150, "No Encontrado", 0)</f>
        <v>11.25</v>
      </c>
      <c r="I2889">
        <f t="shared" si="45"/>
        <v>22.5</v>
      </c>
    </row>
    <row r="2890" spans="1:9" x14ac:dyDescent="0.25">
      <c r="A2890">
        <v>1629</v>
      </c>
      <c r="B2890" s="1">
        <v>45643</v>
      </c>
      <c r="C2890">
        <v>130</v>
      </c>
      <c r="D2890">
        <v>6</v>
      </c>
      <c r="E2890">
        <v>4</v>
      </c>
      <c r="F2890">
        <v>3</v>
      </c>
      <c r="G2890" t="s">
        <v>1044</v>
      </c>
      <c r="H2890">
        <f>_xlfn.XLOOKUP(D2890, productos!$A$2:$A$150, productos!$D$2:$D$150, "No Encontrado", 0)</f>
        <v>28.56</v>
      </c>
      <c r="I2890">
        <f t="shared" si="45"/>
        <v>114.24</v>
      </c>
    </row>
    <row r="2891" spans="1:9" x14ac:dyDescent="0.25">
      <c r="A2891">
        <v>1720</v>
      </c>
      <c r="B2891" s="1">
        <v>45643</v>
      </c>
      <c r="C2891">
        <v>316</v>
      </c>
      <c r="D2891">
        <v>9</v>
      </c>
      <c r="E2891">
        <v>4</v>
      </c>
      <c r="F2891">
        <v>4</v>
      </c>
      <c r="G2891" t="s">
        <v>1044</v>
      </c>
      <c r="H2891">
        <f>_xlfn.XLOOKUP(D2891, productos!$A$2:$A$150, productos!$D$2:$D$150, "No Encontrado", 0)</f>
        <v>18.559999999999999</v>
      </c>
      <c r="I2891">
        <f t="shared" si="45"/>
        <v>74.239999999999995</v>
      </c>
    </row>
    <row r="2892" spans="1:9" x14ac:dyDescent="0.25">
      <c r="A2892">
        <v>1781</v>
      </c>
      <c r="B2892" s="1">
        <v>45643</v>
      </c>
      <c r="C2892">
        <v>177</v>
      </c>
      <c r="D2892">
        <v>15</v>
      </c>
      <c r="E2892">
        <v>1</v>
      </c>
      <c r="F2892">
        <v>4</v>
      </c>
      <c r="G2892" t="s">
        <v>1044</v>
      </c>
      <c r="H2892">
        <f>_xlfn.XLOOKUP(D2892, productos!$A$2:$A$150, productos!$D$2:$D$150, "No Encontrado", 0)</f>
        <v>3.51</v>
      </c>
      <c r="I2892">
        <f t="shared" si="45"/>
        <v>3.51</v>
      </c>
    </row>
    <row r="2893" spans="1:9" x14ac:dyDescent="0.25">
      <c r="A2893">
        <v>2421</v>
      </c>
      <c r="B2893" s="1">
        <v>45643</v>
      </c>
      <c r="C2893">
        <v>268</v>
      </c>
      <c r="D2893">
        <v>36</v>
      </c>
      <c r="E2893">
        <v>2</v>
      </c>
      <c r="F2893">
        <v>4</v>
      </c>
      <c r="G2893" t="s">
        <v>1044</v>
      </c>
      <c r="H2893">
        <f>_xlfn.XLOOKUP(D2893, productos!$A$2:$A$150, productos!$D$2:$D$150, "No Encontrado", 0)</f>
        <v>3.25</v>
      </c>
      <c r="I2893">
        <f t="shared" si="45"/>
        <v>6.5</v>
      </c>
    </row>
    <row r="2894" spans="1:9" x14ac:dyDescent="0.25">
      <c r="A2894">
        <v>429</v>
      </c>
      <c r="B2894" s="1">
        <v>45644</v>
      </c>
      <c r="C2894">
        <v>10</v>
      </c>
      <c r="D2894">
        <v>28</v>
      </c>
      <c r="E2894">
        <v>3</v>
      </c>
      <c r="F2894">
        <v>2</v>
      </c>
      <c r="G2894" t="s">
        <v>1044</v>
      </c>
      <c r="H2894">
        <f>_xlfn.XLOOKUP(D2894, productos!$A$2:$A$150, productos!$D$2:$D$150, "No Encontrado", 0)</f>
        <v>9.4499999999999993</v>
      </c>
      <c r="I2894">
        <f t="shared" si="45"/>
        <v>28.349999999999998</v>
      </c>
    </row>
    <row r="2895" spans="1:9" x14ac:dyDescent="0.25">
      <c r="A2895">
        <v>567</v>
      </c>
      <c r="B2895" s="1">
        <v>45644</v>
      </c>
      <c r="C2895">
        <v>255</v>
      </c>
      <c r="D2895">
        <v>35</v>
      </c>
      <c r="E2895">
        <v>5</v>
      </c>
      <c r="F2895">
        <v>5</v>
      </c>
      <c r="G2895" t="s">
        <v>1044</v>
      </c>
      <c r="H2895">
        <f>_xlfn.XLOOKUP(D2895, productos!$A$2:$A$150, productos!$D$2:$D$150, "No Encontrado", 0)</f>
        <v>4.25</v>
      </c>
      <c r="I2895">
        <f t="shared" si="45"/>
        <v>21.25</v>
      </c>
    </row>
    <row r="2896" spans="1:9" x14ac:dyDescent="0.25">
      <c r="A2896">
        <v>1478</v>
      </c>
      <c r="B2896" s="1">
        <v>45644</v>
      </c>
      <c r="C2896">
        <v>40</v>
      </c>
      <c r="D2896">
        <v>2</v>
      </c>
      <c r="E2896">
        <v>6</v>
      </c>
      <c r="F2896">
        <v>1</v>
      </c>
      <c r="G2896" t="s">
        <v>1044</v>
      </c>
      <c r="H2896">
        <f>_xlfn.XLOOKUP(D2896, productos!$A$2:$A$150, productos!$D$2:$D$150, "No Encontrado", 0)</f>
        <v>5.21</v>
      </c>
      <c r="I2896">
        <f t="shared" si="45"/>
        <v>31.259999999999998</v>
      </c>
    </row>
    <row r="2897" spans="1:9" x14ac:dyDescent="0.25">
      <c r="A2897">
        <v>1886</v>
      </c>
      <c r="B2897" s="1">
        <v>45644</v>
      </c>
      <c r="C2897">
        <v>68</v>
      </c>
      <c r="D2897">
        <v>7</v>
      </c>
      <c r="E2897">
        <v>3</v>
      </c>
      <c r="F2897">
        <v>5</v>
      </c>
      <c r="G2897" t="s">
        <v>1045</v>
      </c>
      <c r="H2897">
        <f>_xlfn.XLOOKUP(D2897, productos!$A$2:$A$150, productos!$D$2:$D$150, "No Encontrado", 0)</f>
        <v>11.25</v>
      </c>
      <c r="I2897">
        <f t="shared" si="45"/>
        <v>33.75</v>
      </c>
    </row>
    <row r="2898" spans="1:9" x14ac:dyDescent="0.25">
      <c r="A2898">
        <v>2088</v>
      </c>
      <c r="B2898" s="1">
        <v>45644</v>
      </c>
      <c r="C2898">
        <v>70</v>
      </c>
      <c r="D2898">
        <v>23</v>
      </c>
      <c r="E2898">
        <v>4</v>
      </c>
      <c r="F2898">
        <v>5</v>
      </c>
      <c r="G2898" t="s">
        <v>1044</v>
      </c>
      <c r="H2898">
        <f>_xlfn.XLOOKUP(D2898, productos!$A$2:$A$150, productos!$D$2:$D$150, "No Encontrado", 0)</f>
        <v>8.23</v>
      </c>
      <c r="I2898">
        <f t="shared" si="45"/>
        <v>32.92</v>
      </c>
    </row>
    <row r="2899" spans="1:9" x14ac:dyDescent="0.25">
      <c r="A2899">
        <v>2319</v>
      </c>
      <c r="B2899" s="1">
        <v>45644</v>
      </c>
      <c r="C2899">
        <v>199</v>
      </c>
      <c r="D2899">
        <v>11</v>
      </c>
      <c r="E2899">
        <v>6</v>
      </c>
      <c r="F2899">
        <v>5</v>
      </c>
      <c r="G2899" t="s">
        <v>1044</v>
      </c>
      <c r="H2899">
        <f>_xlfn.XLOOKUP(D2899, productos!$A$2:$A$150, productos!$D$2:$D$150, "No Encontrado", 0)</f>
        <v>11.23</v>
      </c>
      <c r="I2899">
        <f t="shared" si="45"/>
        <v>67.38</v>
      </c>
    </row>
    <row r="2900" spans="1:9" x14ac:dyDescent="0.25">
      <c r="A2900">
        <v>2419</v>
      </c>
      <c r="B2900" s="1">
        <v>45644</v>
      </c>
      <c r="C2900">
        <v>134</v>
      </c>
      <c r="D2900">
        <v>5</v>
      </c>
      <c r="E2900">
        <v>2</v>
      </c>
      <c r="F2900">
        <v>4</v>
      </c>
      <c r="G2900" t="s">
        <v>1044</v>
      </c>
      <c r="H2900">
        <f>_xlfn.XLOOKUP(D2900, productos!$A$2:$A$150, productos!$D$2:$D$150, "No Encontrado", 0)</f>
        <v>5.65</v>
      </c>
      <c r="I2900">
        <f t="shared" si="45"/>
        <v>11.3</v>
      </c>
    </row>
    <row r="2901" spans="1:9" x14ac:dyDescent="0.25">
      <c r="A2901">
        <v>2466</v>
      </c>
      <c r="B2901" s="1">
        <v>45644</v>
      </c>
      <c r="C2901">
        <v>201</v>
      </c>
      <c r="D2901">
        <v>2</v>
      </c>
      <c r="E2901">
        <v>6</v>
      </c>
      <c r="F2901">
        <v>1</v>
      </c>
      <c r="G2901" t="s">
        <v>1044</v>
      </c>
      <c r="H2901">
        <f>_xlfn.XLOOKUP(D2901, productos!$A$2:$A$150, productos!$D$2:$D$150, "No Encontrado", 0)</f>
        <v>5.21</v>
      </c>
      <c r="I2901">
        <f t="shared" si="45"/>
        <v>31.259999999999998</v>
      </c>
    </row>
    <row r="2902" spans="1:9" x14ac:dyDescent="0.25">
      <c r="A2902">
        <v>377</v>
      </c>
      <c r="B2902" s="1">
        <v>45645</v>
      </c>
      <c r="C2902">
        <v>262</v>
      </c>
      <c r="D2902">
        <v>12</v>
      </c>
      <c r="E2902">
        <v>3</v>
      </c>
      <c r="F2902">
        <v>2</v>
      </c>
      <c r="G2902" t="s">
        <v>1045</v>
      </c>
      <c r="H2902">
        <f>_xlfn.XLOOKUP(D2902, productos!$A$2:$A$150, productos!$D$2:$D$150, "No Encontrado", 0)</f>
        <v>8.1199999999999992</v>
      </c>
      <c r="I2902">
        <f t="shared" si="45"/>
        <v>24.36</v>
      </c>
    </row>
    <row r="2903" spans="1:9" x14ac:dyDescent="0.25">
      <c r="A2903">
        <v>384</v>
      </c>
      <c r="B2903" s="1">
        <v>45645</v>
      </c>
      <c r="C2903">
        <v>146</v>
      </c>
      <c r="D2903">
        <v>3</v>
      </c>
      <c r="E2903">
        <v>6</v>
      </c>
      <c r="F2903">
        <v>4</v>
      </c>
      <c r="G2903" t="s">
        <v>1044</v>
      </c>
      <c r="H2903">
        <f>_xlfn.XLOOKUP(D2903, productos!$A$2:$A$150, productos!$D$2:$D$150, "No Encontrado", 0)</f>
        <v>17.23</v>
      </c>
      <c r="I2903">
        <f t="shared" si="45"/>
        <v>103.38</v>
      </c>
    </row>
    <row r="2904" spans="1:9" x14ac:dyDescent="0.25">
      <c r="A2904">
        <v>868</v>
      </c>
      <c r="B2904" s="1">
        <v>45645</v>
      </c>
      <c r="C2904">
        <v>287</v>
      </c>
      <c r="D2904">
        <v>12</v>
      </c>
      <c r="E2904">
        <v>1</v>
      </c>
      <c r="F2904">
        <v>5</v>
      </c>
      <c r="G2904" t="s">
        <v>1044</v>
      </c>
      <c r="H2904">
        <f>_xlfn.XLOOKUP(D2904, productos!$A$2:$A$150, productos!$D$2:$D$150, "No Encontrado", 0)</f>
        <v>8.1199999999999992</v>
      </c>
      <c r="I2904">
        <f t="shared" si="45"/>
        <v>8.1199999999999992</v>
      </c>
    </row>
    <row r="2905" spans="1:9" x14ac:dyDescent="0.25">
      <c r="A2905">
        <v>914</v>
      </c>
      <c r="B2905" s="1">
        <v>45645</v>
      </c>
      <c r="C2905">
        <v>203</v>
      </c>
      <c r="D2905">
        <v>16</v>
      </c>
      <c r="E2905">
        <v>2</v>
      </c>
      <c r="F2905">
        <v>4</v>
      </c>
      <c r="G2905" t="s">
        <v>1045</v>
      </c>
      <c r="H2905">
        <f>_xlfn.XLOOKUP(D2905, productos!$A$2:$A$150, productos!$D$2:$D$150, "No Encontrado", 0)</f>
        <v>15.23</v>
      </c>
      <c r="I2905">
        <f t="shared" si="45"/>
        <v>30.46</v>
      </c>
    </row>
    <row r="2906" spans="1:9" x14ac:dyDescent="0.25">
      <c r="A2906">
        <v>999</v>
      </c>
      <c r="B2906" s="1">
        <v>45645</v>
      </c>
      <c r="C2906">
        <v>155</v>
      </c>
      <c r="D2906">
        <v>38</v>
      </c>
      <c r="E2906">
        <v>4</v>
      </c>
      <c r="F2906">
        <v>3</v>
      </c>
      <c r="G2906" t="s">
        <v>1044</v>
      </c>
      <c r="H2906">
        <f>_xlfn.XLOOKUP(D2906, productos!$A$2:$A$150, productos!$D$2:$D$150, "No Encontrado", 0)</f>
        <v>6.21</v>
      </c>
      <c r="I2906">
        <f t="shared" si="45"/>
        <v>24.84</v>
      </c>
    </row>
    <row r="2907" spans="1:9" x14ac:dyDescent="0.25">
      <c r="A2907">
        <v>1126</v>
      </c>
      <c r="B2907" s="1">
        <v>45645</v>
      </c>
      <c r="C2907">
        <v>315</v>
      </c>
      <c r="D2907">
        <v>34</v>
      </c>
      <c r="E2907">
        <v>1</v>
      </c>
      <c r="F2907">
        <v>2</v>
      </c>
      <c r="G2907" t="s">
        <v>1044</v>
      </c>
      <c r="H2907">
        <f>_xlfn.XLOOKUP(D2907, productos!$A$2:$A$150, productos!$D$2:$D$150, "No Encontrado", 0)</f>
        <v>5.45</v>
      </c>
      <c r="I2907">
        <f t="shared" si="45"/>
        <v>5.45</v>
      </c>
    </row>
    <row r="2908" spans="1:9" x14ac:dyDescent="0.25">
      <c r="A2908">
        <v>1359</v>
      </c>
      <c r="B2908" s="1">
        <v>45645</v>
      </c>
      <c r="C2908">
        <v>118</v>
      </c>
      <c r="D2908">
        <v>14</v>
      </c>
      <c r="E2908">
        <v>3</v>
      </c>
      <c r="F2908">
        <v>4</v>
      </c>
      <c r="G2908" t="s">
        <v>1044</v>
      </c>
      <c r="H2908">
        <f>_xlfn.XLOOKUP(D2908, productos!$A$2:$A$150, productos!$D$2:$D$150, "No Encontrado", 0)</f>
        <v>12.36</v>
      </c>
      <c r="I2908">
        <f t="shared" si="45"/>
        <v>37.08</v>
      </c>
    </row>
    <row r="2909" spans="1:9" x14ac:dyDescent="0.25">
      <c r="A2909">
        <v>1642</v>
      </c>
      <c r="B2909" s="1">
        <v>45645</v>
      </c>
      <c r="C2909">
        <v>172</v>
      </c>
      <c r="D2909">
        <v>22</v>
      </c>
      <c r="E2909">
        <v>4</v>
      </c>
      <c r="F2909">
        <v>2</v>
      </c>
      <c r="G2909" t="s">
        <v>1044</v>
      </c>
      <c r="H2909">
        <f>_xlfn.XLOOKUP(D2909, productos!$A$2:$A$150, productos!$D$2:$D$150, "No Encontrado", 0)</f>
        <v>4.21</v>
      </c>
      <c r="I2909">
        <f t="shared" si="45"/>
        <v>16.84</v>
      </c>
    </row>
    <row r="2910" spans="1:9" x14ac:dyDescent="0.25">
      <c r="A2910">
        <v>1660</v>
      </c>
      <c r="B2910" s="1">
        <v>45645</v>
      </c>
      <c r="C2910">
        <v>313</v>
      </c>
      <c r="D2910">
        <v>17</v>
      </c>
      <c r="E2910">
        <v>1</v>
      </c>
      <c r="F2910">
        <v>2</v>
      </c>
      <c r="G2910" t="s">
        <v>1044</v>
      </c>
      <c r="H2910">
        <f>_xlfn.XLOOKUP(D2910, productos!$A$2:$A$150, productos!$D$2:$D$150, "No Encontrado", 0)</f>
        <v>6.54</v>
      </c>
      <c r="I2910">
        <f t="shared" si="45"/>
        <v>6.54</v>
      </c>
    </row>
    <row r="2911" spans="1:9" x14ac:dyDescent="0.25">
      <c r="A2911">
        <v>1724</v>
      </c>
      <c r="B2911" s="1">
        <v>45645</v>
      </c>
      <c r="C2911">
        <v>252</v>
      </c>
      <c r="D2911">
        <v>29</v>
      </c>
      <c r="E2911">
        <v>6</v>
      </c>
      <c r="F2911">
        <v>4</v>
      </c>
      <c r="G2911" t="s">
        <v>1044</v>
      </c>
      <c r="H2911">
        <f>_xlfn.XLOOKUP(D2911, productos!$A$2:$A$150, productos!$D$2:$D$150, "No Encontrado", 0)</f>
        <v>11.54</v>
      </c>
      <c r="I2911">
        <f t="shared" si="45"/>
        <v>69.239999999999995</v>
      </c>
    </row>
    <row r="2912" spans="1:9" x14ac:dyDescent="0.25">
      <c r="A2912">
        <v>1807</v>
      </c>
      <c r="B2912" s="1">
        <v>45645</v>
      </c>
      <c r="C2912">
        <v>205</v>
      </c>
      <c r="D2912">
        <v>29</v>
      </c>
      <c r="E2912">
        <v>5</v>
      </c>
      <c r="F2912">
        <v>5</v>
      </c>
      <c r="G2912" t="s">
        <v>1044</v>
      </c>
      <c r="H2912">
        <f>_xlfn.XLOOKUP(D2912, productos!$A$2:$A$150, productos!$D$2:$D$150, "No Encontrado", 0)</f>
        <v>11.54</v>
      </c>
      <c r="I2912">
        <f t="shared" si="45"/>
        <v>57.699999999999996</v>
      </c>
    </row>
    <row r="2913" spans="1:9" x14ac:dyDescent="0.25">
      <c r="A2913">
        <v>2358</v>
      </c>
      <c r="B2913" s="1">
        <v>45645</v>
      </c>
      <c r="C2913">
        <v>316</v>
      </c>
      <c r="D2913">
        <v>28</v>
      </c>
      <c r="E2913">
        <v>1</v>
      </c>
      <c r="F2913">
        <v>5</v>
      </c>
      <c r="G2913" t="s">
        <v>1044</v>
      </c>
      <c r="H2913">
        <f>_xlfn.XLOOKUP(D2913, productos!$A$2:$A$150, productos!$D$2:$D$150, "No Encontrado", 0)</f>
        <v>9.4499999999999993</v>
      </c>
      <c r="I2913">
        <f t="shared" si="45"/>
        <v>9.4499999999999993</v>
      </c>
    </row>
    <row r="2914" spans="1:9" x14ac:dyDescent="0.25">
      <c r="A2914">
        <v>396</v>
      </c>
      <c r="B2914" s="1">
        <v>45646</v>
      </c>
      <c r="C2914">
        <v>295</v>
      </c>
      <c r="D2914">
        <v>1</v>
      </c>
      <c r="E2914">
        <v>5</v>
      </c>
      <c r="F2914">
        <v>3</v>
      </c>
      <c r="G2914" t="s">
        <v>1044</v>
      </c>
      <c r="H2914">
        <f>_xlfn.XLOOKUP(D2914, productos!$A$2:$A$150, productos!$D$2:$D$150, "No Encontrado", 0)</f>
        <v>12.24</v>
      </c>
      <c r="I2914">
        <f t="shared" si="45"/>
        <v>61.2</v>
      </c>
    </row>
    <row r="2915" spans="1:9" x14ac:dyDescent="0.25">
      <c r="A2915">
        <v>1389</v>
      </c>
      <c r="B2915" s="1">
        <v>45646</v>
      </c>
      <c r="C2915">
        <v>78</v>
      </c>
      <c r="D2915">
        <v>6</v>
      </c>
      <c r="E2915">
        <v>3</v>
      </c>
      <c r="F2915">
        <v>5</v>
      </c>
      <c r="G2915" t="s">
        <v>1044</v>
      </c>
      <c r="H2915">
        <f>_xlfn.XLOOKUP(D2915, productos!$A$2:$A$150, productos!$D$2:$D$150, "No Encontrado", 0)</f>
        <v>28.56</v>
      </c>
      <c r="I2915">
        <f t="shared" si="45"/>
        <v>85.679999999999993</v>
      </c>
    </row>
    <row r="2916" spans="1:9" x14ac:dyDescent="0.25">
      <c r="A2916">
        <v>1451</v>
      </c>
      <c r="B2916" s="1">
        <v>45646</v>
      </c>
      <c r="C2916">
        <v>131</v>
      </c>
      <c r="D2916">
        <v>27</v>
      </c>
      <c r="E2916">
        <v>5</v>
      </c>
      <c r="F2916">
        <v>5</v>
      </c>
      <c r="G2916" t="s">
        <v>1044</v>
      </c>
      <c r="H2916">
        <f>_xlfn.XLOOKUP(D2916, productos!$A$2:$A$150, productos!$D$2:$D$150, "No Encontrado", 0)</f>
        <v>6.21</v>
      </c>
      <c r="I2916">
        <f t="shared" si="45"/>
        <v>31.05</v>
      </c>
    </row>
    <row r="2917" spans="1:9" x14ac:dyDescent="0.25">
      <c r="A2917">
        <v>2096</v>
      </c>
      <c r="B2917" s="1">
        <v>45646</v>
      </c>
      <c r="C2917">
        <v>308</v>
      </c>
      <c r="D2917">
        <v>25</v>
      </c>
      <c r="E2917">
        <v>5</v>
      </c>
      <c r="F2917">
        <v>2</v>
      </c>
      <c r="G2917" t="s">
        <v>1044</v>
      </c>
      <c r="H2917">
        <f>_xlfn.XLOOKUP(D2917, productos!$A$2:$A$150, productos!$D$2:$D$150, "No Encontrado", 0)</f>
        <v>15.45</v>
      </c>
      <c r="I2917">
        <f t="shared" si="45"/>
        <v>77.25</v>
      </c>
    </row>
    <row r="2918" spans="1:9" x14ac:dyDescent="0.25">
      <c r="A2918">
        <v>2283</v>
      </c>
      <c r="B2918" s="1">
        <v>45646</v>
      </c>
      <c r="C2918">
        <v>113</v>
      </c>
      <c r="D2918">
        <v>6</v>
      </c>
      <c r="E2918">
        <v>5</v>
      </c>
      <c r="F2918">
        <v>2</v>
      </c>
      <c r="G2918" t="s">
        <v>1044</v>
      </c>
      <c r="H2918">
        <f>_xlfn.XLOOKUP(D2918, productos!$A$2:$A$150, productos!$D$2:$D$150, "No Encontrado", 0)</f>
        <v>28.56</v>
      </c>
      <c r="I2918">
        <f t="shared" si="45"/>
        <v>142.79999999999998</v>
      </c>
    </row>
    <row r="2919" spans="1:9" x14ac:dyDescent="0.25">
      <c r="A2919">
        <v>2400</v>
      </c>
      <c r="B2919" s="1">
        <v>45646</v>
      </c>
      <c r="C2919">
        <v>166</v>
      </c>
      <c r="D2919">
        <v>38</v>
      </c>
      <c r="E2919">
        <v>6</v>
      </c>
      <c r="F2919">
        <v>1</v>
      </c>
      <c r="G2919" t="s">
        <v>1044</v>
      </c>
      <c r="H2919">
        <f>_xlfn.XLOOKUP(D2919, productos!$A$2:$A$150, productos!$D$2:$D$150, "No Encontrado", 0)</f>
        <v>6.21</v>
      </c>
      <c r="I2919">
        <f t="shared" si="45"/>
        <v>37.26</v>
      </c>
    </row>
    <row r="2920" spans="1:9" x14ac:dyDescent="0.25">
      <c r="A2920">
        <v>562</v>
      </c>
      <c r="B2920" s="1">
        <v>45647</v>
      </c>
      <c r="C2920">
        <v>248</v>
      </c>
      <c r="D2920">
        <v>13</v>
      </c>
      <c r="E2920">
        <v>1</v>
      </c>
      <c r="F2920">
        <v>5</v>
      </c>
      <c r="G2920" t="s">
        <v>1044</v>
      </c>
      <c r="H2920">
        <f>_xlfn.XLOOKUP(D2920, productos!$A$2:$A$150, productos!$D$2:$D$150, "No Encontrado", 0)</f>
        <v>12.56</v>
      </c>
      <c r="I2920">
        <f t="shared" si="45"/>
        <v>12.56</v>
      </c>
    </row>
    <row r="2921" spans="1:9" x14ac:dyDescent="0.25">
      <c r="A2921">
        <v>748</v>
      </c>
      <c r="B2921" s="1">
        <v>45647</v>
      </c>
      <c r="C2921">
        <v>326</v>
      </c>
      <c r="D2921">
        <v>10</v>
      </c>
      <c r="E2921">
        <v>5</v>
      </c>
      <c r="F2921">
        <v>3</v>
      </c>
      <c r="G2921" t="s">
        <v>1044</v>
      </c>
      <c r="H2921">
        <f>_xlfn.XLOOKUP(D2921, productos!$A$2:$A$150, productos!$D$2:$D$150, "No Encontrado", 0)</f>
        <v>14.25</v>
      </c>
      <c r="I2921">
        <f t="shared" si="45"/>
        <v>71.25</v>
      </c>
    </row>
    <row r="2922" spans="1:9" x14ac:dyDescent="0.25">
      <c r="A2922">
        <v>896</v>
      </c>
      <c r="B2922" s="1">
        <v>45647</v>
      </c>
      <c r="C2922">
        <v>190</v>
      </c>
      <c r="D2922">
        <v>37</v>
      </c>
      <c r="E2922">
        <v>3</v>
      </c>
      <c r="F2922">
        <v>4</v>
      </c>
      <c r="G2922" t="s">
        <v>1044</v>
      </c>
      <c r="H2922">
        <f>_xlfn.XLOOKUP(D2922, productos!$A$2:$A$150, productos!$D$2:$D$150, "No Encontrado", 0)</f>
        <v>3.65</v>
      </c>
      <c r="I2922">
        <f t="shared" si="45"/>
        <v>10.95</v>
      </c>
    </row>
    <row r="2923" spans="1:9" x14ac:dyDescent="0.25">
      <c r="A2923">
        <v>925</v>
      </c>
      <c r="B2923" s="1">
        <v>45647</v>
      </c>
      <c r="C2923">
        <v>179</v>
      </c>
      <c r="D2923">
        <v>5</v>
      </c>
      <c r="E2923">
        <v>4</v>
      </c>
      <c r="F2923">
        <v>2</v>
      </c>
      <c r="G2923" t="s">
        <v>1044</v>
      </c>
      <c r="H2923">
        <f>_xlfn.XLOOKUP(D2923, productos!$A$2:$A$150, productos!$D$2:$D$150, "No Encontrado", 0)</f>
        <v>5.65</v>
      </c>
      <c r="I2923">
        <f t="shared" si="45"/>
        <v>22.6</v>
      </c>
    </row>
    <row r="2924" spans="1:9" x14ac:dyDescent="0.25">
      <c r="A2924">
        <v>1163</v>
      </c>
      <c r="B2924" s="1">
        <v>45647</v>
      </c>
      <c r="C2924">
        <v>94</v>
      </c>
      <c r="D2924">
        <v>11</v>
      </c>
      <c r="E2924">
        <v>4</v>
      </c>
      <c r="F2924">
        <v>4</v>
      </c>
      <c r="G2924" t="s">
        <v>1044</v>
      </c>
      <c r="H2924">
        <f>_xlfn.XLOOKUP(D2924, productos!$A$2:$A$150, productos!$D$2:$D$150, "No Encontrado", 0)</f>
        <v>11.23</v>
      </c>
      <c r="I2924">
        <f t="shared" si="45"/>
        <v>44.92</v>
      </c>
    </row>
    <row r="2925" spans="1:9" x14ac:dyDescent="0.25">
      <c r="A2925">
        <v>1403</v>
      </c>
      <c r="B2925" s="1">
        <v>45647</v>
      </c>
      <c r="C2925">
        <v>79</v>
      </c>
      <c r="D2925">
        <v>15</v>
      </c>
      <c r="E2925">
        <v>1</v>
      </c>
      <c r="F2925">
        <v>2</v>
      </c>
      <c r="G2925" t="s">
        <v>1044</v>
      </c>
      <c r="H2925">
        <f>_xlfn.XLOOKUP(D2925, productos!$A$2:$A$150, productos!$D$2:$D$150, "No Encontrado", 0)</f>
        <v>3.51</v>
      </c>
      <c r="I2925">
        <f t="shared" si="45"/>
        <v>3.51</v>
      </c>
    </row>
    <row r="2926" spans="1:9" x14ac:dyDescent="0.25">
      <c r="A2926">
        <v>1548</v>
      </c>
      <c r="B2926" s="1">
        <v>45647</v>
      </c>
      <c r="C2926">
        <v>98</v>
      </c>
      <c r="D2926">
        <v>38</v>
      </c>
      <c r="E2926">
        <v>4</v>
      </c>
      <c r="F2926">
        <v>4</v>
      </c>
      <c r="G2926" t="s">
        <v>1044</v>
      </c>
      <c r="H2926">
        <f>_xlfn.XLOOKUP(D2926, productos!$A$2:$A$150, productos!$D$2:$D$150, "No Encontrado", 0)</f>
        <v>6.21</v>
      </c>
      <c r="I2926">
        <f t="shared" si="45"/>
        <v>24.84</v>
      </c>
    </row>
    <row r="2927" spans="1:9" x14ac:dyDescent="0.25">
      <c r="A2927">
        <v>1650</v>
      </c>
      <c r="B2927" s="1">
        <v>45647</v>
      </c>
      <c r="C2927">
        <v>40</v>
      </c>
      <c r="D2927">
        <v>1</v>
      </c>
      <c r="E2927">
        <v>6</v>
      </c>
      <c r="F2927">
        <v>4</v>
      </c>
      <c r="G2927" t="s">
        <v>1044</v>
      </c>
      <c r="H2927">
        <f>_xlfn.XLOOKUP(D2927, productos!$A$2:$A$150, productos!$D$2:$D$150, "No Encontrado", 0)</f>
        <v>12.24</v>
      </c>
      <c r="I2927">
        <f t="shared" si="45"/>
        <v>73.44</v>
      </c>
    </row>
    <row r="2928" spans="1:9" x14ac:dyDescent="0.25">
      <c r="A2928">
        <v>1825</v>
      </c>
      <c r="B2928" s="1">
        <v>45647</v>
      </c>
      <c r="C2928">
        <v>136</v>
      </c>
      <c r="D2928">
        <v>24</v>
      </c>
      <c r="E2928">
        <v>1</v>
      </c>
      <c r="F2928">
        <v>4</v>
      </c>
      <c r="G2928" t="s">
        <v>1044</v>
      </c>
      <c r="H2928">
        <f>_xlfn.XLOOKUP(D2928, productos!$A$2:$A$150, productos!$D$2:$D$150, "No Encontrado", 0)</f>
        <v>13.54</v>
      </c>
      <c r="I2928">
        <f t="shared" si="45"/>
        <v>13.54</v>
      </c>
    </row>
    <row r="2929" spans="1:9" x14ac:dyDescent="0.25">
      <c r="A2929">
        <v>1861</v>
      </c>
      <c r="B2929" s="1">
        <v>45647</v>
      </c>
      <c r="C2929">
        <v>117</v>
      </c>
      <c r="D2929">
        <v>29</v>
      </c>
      <c r="E2929">
        <v>5</v>
      </c>
      <c r="F2929">
        <v>5</v>
      </c>
      <c r="G2929" t="s">
        <v>1044</v>
      </c>
      <c r="H2929">
        <f>_xlfn.XLOOKUP(D2929, productos!$A$2:$A$150, productos!$D$2:$D$150, "No Encontrado", 0)</f>
        <v>11.54</v>
      </c>
      <c r="I2929">
        <f t="shared" si="45"/>
        <v>57.699999999999996</v>
      </c>
    </row>
    <row r="2930" spans="1:9" x14ac:dyDescent="0.25">
      <c r="A2930">
        <v>2734</v>
      </c>
      <c r="B2930" s="1">
        <v>45647</v>
      </c>
      <c r="C2930">
        <v>116</v>
      </c>
      <c r="D2930">
        <v>22</v>
      </c>
      <c r="E2930">
        <v>5</v>
      </c>
      <c r="F2930">
        <v>4</v>
      </c>
      <c r="G2930" t="s">
        <v>1044</v>
      </c>
      <c r="H2930">
        <f>_xlfn.XLOOKUP(D2930, productos!$A$2:$A$150, productos!$D$2:$D$150, "No Encontrado", 0)</f>
        <v>4.21</v>
      </c>
      <c r="I2930">
        <f t="shared" si="45"/>
        <v>21.05</v>
      </c>
    </row>
    <row r="2931" spans="1:9" x14ac:dyDescent="0.25">
      <c r="A2931">
        <v>933</v>
      </c>
      <c r="B2931" s="1">
        <v>45648</v>
      </c>
      <c r="C2931">
        <v>260</v>
      </c>
      <c r="D2931">
        <v>29</v>
      </c>
      <c r="E2931">
        <v>2</v>
      </c>
      <c r="F2931">
        <v>5</v>
      </c>
      <c r="G2931" t="s">
        <v>1044</v>
      </c>
      <c r="H2931">
        <f>_xlfn.XLOOKUP(D2931, productos!$A$2:$A$150, productos!$D$2:$D$150, "No Encontrado", 0)</f>
        <v>11.54</v>
      </c>
      <c r="I2931">
        <f t="shared" si="45"/>
        <v>23.08</v>
      </c>
    </row>
    <row r="2932" spans="1:9" x14ac:dyDescent="0.25">
      <c r="A2932">
        <v>1160</v>
      </c>
      <c r="B2932" s="1">
        <v>45648</v>
      </c>
      <c r="C2932">
        <v>108</v>
      </c>
      <c r="D2932">
        <v>2</v>
      </c>
      <c r="E2932">
        <v>5</v>
      </c>
      <c r="F2932">
        <v>3</v>
      </c>
      <c r="G2932" t="s">
        <v>1044</v>
      </c>
      <c r="H2932">
        <f>_xlfn.XLOOKUP(D2932, productos!$A$2:$A$150, productos!$D$2:$D$150, "No Encontrado", 0)</f>
        <v>5.21</v>
      </c>
      <c r="I2932">
        <f t="shared" si="45"/>
        <v>26.05</v>
      </c>
    </row>
    <row r="2933" spans="1:9" x14ac:dyDescent="0.25">
      <c r="A2933">
        <v>1525</v>
      </c>
      <c r="B2933" s="1">
        <v>45648</v>
      </c>
      <c r="C2933">
        <v>65</v>
      </c>
      <c r="D2933">
        <v>30</v>
      </c>
      <c r="E2933">
        <v>3</v>
      </c>
      <c r="F2933">
        <v>5</v>
      </c>
      <c r="G2933" t="s">
        <v>1044</v>
      </c>
      <c r="H2933">
        <f>_xlfn.XLOOKUP(D2933, productos!$A$2:$A$150, productos!$D$2:$D$150, "No Encontrado", 0)</f>
        <v>13.54</v>
      </c>
      <c r="I2933">
        <f t="shared" si="45"/>
        <v>40.619999999999997</v>
      </c>
    </row>
    <row r="2934" spans="1:9" x14ac:dyDescent="0.25">
      <c r="A2934">
        <v>1779</v>
      </c>
      <c r="B2934" s="1">
        <v>45648</v>
      </c>
      <c r="C2934">
        <v>81</v>
      </c>
      <c r="D2934">
        <v>15</v>
      </c>
      <c r="E2934">
        <v>1</v>
      </c>
      <c r="F2934">
        <v>5</v>
      </c>
      <c r="G2934" t="s">
        <v>1044</v>
      </c>
      <c r="H2934">
        <f>_xlfn.XLOOKUP(D2934, productos!$A$2:$A$150, productos!$D$2:$D$150, "No Encontrado", 0)</f>
        <v>3.51</v>
      </c>
      <c r="I2934">
        <f t="shared" si="45"/>
        <v>3.51</v>
      </c>
    </row>
    <row r="2935" spans="1:9" x14ac:dyDescent="0.25">
      <c r="A2935">
        <v>2189</v>
      </c>
      <c r="B2935" s="1">
        <v>45648</v>
      </c>
      <c r="C2935">
        <v>308</v>
      </c>
      <c r="D2935">
        <v>5</v>
      </c>
      <c r="E2935">
        <v>3</v>
      </c>
      <c r="F2935">
        <v>1</v>
      </c>
      <c r="G2935" t="s">
        <v>1045</v>
      </c>
      <c r="H2935">
        <f>_xlfn.XLOOKUP(D2935, productos!$A$2:$A$150, productos!$D$2:$D$150, "No Encontrado", 0)</f>
        <v>5.65</v>
      </c>
      <c r="I2935">
        <f t="shared" si="45"/>
        <v>16.950000000000003</v>
      </c>
    </row>
    <row r="2936" spans="1:9" x14ac:dyDescent="0.25">
      <c r="A2936">
        <v>2259</v>
      </c>
      <c r="B2936" s="1">
        <v>45648</v>
      </c>
      <c r="C2936">
        <v>103</v>
      </c>
      <c r="D2936">
        <v>5</v>
      </c>
      <c r="E2936">
        <v>1</v>
      </c>
      <c r="F2936">
        <v>5</v>
      </c>
      <c r="G2936" t="s">
        <v>1044</v>
      </c>
      <c r="H2936">
        <f>_xlfn.XLOOKUP(D2936, productos!$A$2:$A$150, productos!$D$2:$D$150, "No Encontrado", 0)</f>
        <v>5.65</v>
      </c>
      <c r="I2936">
        <f t="shared" si="45"/>
        <v>5.65</v>
      </c>
    </row>
    <row r="2937" spans="1:9" x14ac:dyDescent="0.25">
      <c r="A2937">
        <v>387</v>
      </c>
      <c r="B2937" s="1">
        <v>45649</v>
      </c>
      <c r="C2937">
        <v>180</v>
      </c>
      <c r="D2937">
        <v>17</v>
      </c>
      <c r="E2937">
        <v>2</v>
      </c>
      <c r="F2937">
        <v>3</v>
      </c>
      <c r="G2937" t="s">
        <v>1044</v>
      </c>
      <c r="H2937">
        <f>_xlfn.XLOOKUP(D2937, productos!$A$2:$A$150, productos!$D$2:$D$150, "No Encontrado", 0)</f>
        <v>6.54</v>
      </c>
      <c r="I2937">
        <f t="shared" si="45"/>
        <v>13.08</v>
      </c>
    </row>
    <row r="2938" spans="1:9" x14ac:dyDescent="0.25">
      <c r="A2938">
        <v>571</v>
      </c>
      <c r="B2938" s="1">
        <v>45649</v>
      </c>
      <c r="C2938">
        <v>262</v>
      </c>
      <c r="D2938">
        <v>30</v>
      </c>
      <c r="E2938">
        <v>4</v>
      </c>
      <c r="F2938">
        <v>4</v>
      </c>
      <c r="G2938" t="s">
        <v>1044</v>
      </c>
      <c r="H2938">
        <f>_xlfn.XLOOKUP(D2938, productos!$A$2:$A$150, productos!$D$2:$D$150, "No Encontrado", 0)</f>
        <v>13.54</v>
      </c>
      <c r="I2938">
        <f t="shared" si="45"/>
        <v>54.16</v>
      </c>
    </row>
    <row r="2939" spans="1:9" x14ac:dyDescent="0.25">
      <c r="A2939">
        <v>992</v>
      </c>
      <c r="B2939" s="1">
        <v>45649</v>
      </c>
      <c r="C2939">
        <v>283</v>
      </c>
      <c r="D2939">
        <v>35</v>
      </c>
      <c r="E2939">
        <v>5</v>
      </c>
      <c r="F2939">
        <v>3</v>
      </c>
      <c r="G2939" t="s">
        <v>1044</v>
      </c>
      <c r="H2939">
        <f>_xlfn.XLOOKUP(D2939, productos!$A$2:$A$150, productos!$D$2:$D$150, "No Encontrado", 0)</f>
        <v>4.25</v>
      </c>
      <c r="I2939">
        <f t="shared" si="45"/>
        <v>21.25</v>
      </c>
    </row>
    <row r="2940" spans="1:9" x14ac:dyDescent="0.25">
      <c r="A2940">
        <v>1084</v>
      </c>
      <c r="B2940" s="1">
        <v>45649</v>
      </c>
      <c r="C2940">
        <v>70</v>
      </c>
      <c r="D2940">
        <v>14</v>
      </c>
      <c r="E2940">
        <v>4</v>
      </c>
      <c r="F2940">
        <v>4</v>
      </c>
      <c r="G2940" t="s">
        <v>1044</v>
      </c>
      <c r="H2940">
        <f>_xlfn.XLOOKUP(D2940, productos!$A$2:$A$150, productos!$D$2:$D$150, "No Encontrado", 0)</f>
        <v>12.36</v>
      </c>
      <c r="I2940">
        <f t="shared" si="45"/>
        <v>49.44</v>
      </c>
    </row>
    <row r="2941" spans="1:9" x14ac:dyDescent="0.25">
      <c r="A2941">
        <v>1264</v>
      </c>
      <c r="B2941" s="1">
        <v>45649</v>
      </c>
      <c r="C2941">
        <v>188</v>
      </c>
      <c r="D2941">
        <v>16</v>
      </c>
      <c r="E2941">
        <v>5</v>
      </c>
      <c r="F2941">
        <v>1</v>
      </c>
      <c r="G2941" t="s">
        <v>1045</v>
      </c>
      <c r="H2941">
        <f>_xlfn.XLOOKUP(D2941, productos!$A$2:$A$150, productos!$D$2:$D$150, "No Encontrado", 0)</f>
        <v>15.23</v>
      </c>
      <c r="I2941">
        <f t="shared" si="45"/>
        <v>76.150000000000006</v>
      </c>
    </row>
    <row r="2942" spans="1:9" x14ac:dyDescent="0.25">
      <c r="A2942">
        <v>1812</v>
      </c>
      <c r="B2942" s="1">
        <v>45649</v>
      </c>
      <c r="C2942">
        <v>97</v>
      </c>
      <c r="D2942">
        <v>13</v>
      </c>
      <c r="E2942">
        <v>6</v>
      </c>
      <c r="F2942">
        <v>5</v>
      </c>
      <c r="G2942" t="s">
        <v>1044</v>
      </c>
      <c r="H2942">
        <f>_xlfn.XLOOKUP(D2942, productos!$A$2:$A$150, productos!$D$2:$D$150, "No Encontrado", 0)</f>
        <v>12.56</v>
      </c>
      <c r="I2942">
        <f t="shared" si="45"/>
        <v>75.36</v>
      </c>
    </row>
    <row r="2943" spans="1:9" x14ac:dyDescent="0.25">
      <c r="A2943">
        <v>2522</v>
      </c>
      <c r="B2943" s="1">
        <v>45649</v>
      </c>
      <c r="C2943">
        <v>110</v>
      </c>
      <c r="D2943">
        <v>25</v>
      </c>
      <c r="E2943">
        <v>3</v>
      </c>
      <c r="F2943">
        <v>4</v>
      </c>
      <c r="G2943" t="s">
        <v>1044</v>
      </c>
      <c r="H2943">
        <f>_xlfn.XLOOKUP(D2943, productos!$A$2:$A$150, productos!$D$2:$D$150, "No Encontrado", 0)</f>
        <v>15.45</v>
      </c>
      <c r="I2943">
        <f t="shared" si="45"/>
        <v>46.349999999999994</v>
      </c>
    </row>
    <row r="2944" spans="1:9" x14ac:dyDescent="0.25">
      <c r="A2944">
        <v>456</v>
      </c>
      <c r="B2944" s="1">
        <v>45650</v>
      </c>
      <c r="C2944">
        <v>105</v>
      </c>
      <c r="D2944">
        <v>4</v>
      </c>
      <c r="E2944">
        <v>2</v>
      </c>
      <c r="F2944">
        <v>3</v>
      </c>
      <c r="G2944" t="s">
        <v>1044</v>
      </c>
      <c r="H2944">
        <f>_xlfn.XLOOKUP(D2944, productos!$A$2:$A$150, productos!$D$2:$D$150, "No Encontrado", 0)</f>
        <v>19.23</v>
      </c>
      <c r="I2944">
        <f t="shared" si="45"/>
        <v>38.46</v>
      </c>
    </row>
    <row r="2945" spans="1:9" x14ac:dyDescent="0.25">
      <c r="A2945">
        <v>749</v>
      </c>
      <c r="B2945" s="1">
        <v>45650</v>
      </c>
      <c r="C2945">
        <v>153</v>
      </c>
      <c r="D2945">
        <v>14</v>
      </c>
      <c r="E2945">
        <v>3</v>
      </c>
      <c r="F2945">
        <v>3</v>
      </c>
      <c r="G2945" t="s">
        <v>1044</v>
      </c>
      <c r="H2945">
        <f>_xlfn.XLOOKUP(D2945, productos!$A$2:$A$150, productos!$D$2:$D$150, "No Encontrado", 0)</f>
        <v>12.36</v>
      </c>
      <c r="I2945">
        <f t="shared" si="45"/>
        <v>37.08</v>
      </c>
    </row>
    <row r="2946" spans="1:9" x14ac:dyDescent="0.25">
      <c r="A2946">
        <v>1065</v>
      </c>
      <c r="B2946" s="1">
        <v>45650</v>
      </c>
      <c r="C2946">
        <v>124</v>
      </c>
      <c r="D2946">
        <v>38</v>
      </c>
      <c r="E2946">
        <v>2</v>
      </c>
      <c r="F2946">
        <v>5</v>
      </c>
      <c r="G2946" t="s">
        <v>1044</v>
      </c>
      <c r="H2946">
        <f>_xlfn.XLOOKUP(D2946, productos!$A$2:$A$150, productos!$D$2:$D$150, "No Encontrado", 0)</f>
        <v>6.21</v>
      </c>
      <c r="I2946">
        <f t="shared" si="45"/>
        <v>12.42</v>
      </c>
    </row>
    <row r="2947" spans="1:9" x14ac:dyDescent="0.25">
      <c r="A2947">
        <v>1301</v>
      </c>
      <c r="B2947" s="1">
        <v>45650</v>
      </c>
      <c r="C2947">
        <v>158</v>
      </c>
      <c r="D2947">
        <v>6</v>
      </c>
      <c r="E2947">
        <v>1</v>
      </c>
      <c r="F2947">
        <v>5</v>
      </c>
      <c r="G2947" t="s">
        <v>1044</v>
      </c>
      <c r="H2947">
        <f>_xlfn.XLOOKUP(D2947, productos!$A$2:$A$150, productos!$D$2:$D$150, "No Encontrado", 0)</f>
        <v>28.56</v>
      </c>
      <c r="I2947">
        <f t="shared" ref="I2947:I3001" si="46">E2947*H2947</f>
        <v>28.56</v>
      </c>
    </row>
    <row r="2948" spans="1:9" x14ac:dyDescent="0.25">
      <c r="A2948">
        <v>1492</v>
      </c>
      <c r="B2948" s="1">
        <v>45650</v>
      </c>
      <c r="C2948">
        <v>316</v>
      </c>
      <c r="D2948">
        <v>11</v>
      </c>
      <c r="E2948">
        <v>5</v>
      </c>
      <c r="F2948">
        <v>5</v>
      </c>
      <c r="G2948" t="s">
        <v>1044</v>
      </c>
      <c r="H2948">
        <f>_xlfn.XLOOKUP(D2948, productos!$A$2:$A$150, productos!$D$2:$D$150, "No Encontrado", 0)</f>
        <v>11.23</v>
      </c>
      <c r="I2948">
        <f t="shared" si="46"/>
        <v>56.150000000000006</v>
      </c>
    </row>
    <row r="2949" spans="1:9" x14ac:dyDescent="0.25">
      <c r="A2949">
        <v>1736</v>
      </c>
      <c r="B2949" s="1">
        <v>45650</v>
      </c>
      <c r="C2949">
        <v>192</v>
      </c>
      <c r="D2949">
        <v>23</v>
      </c>
      <c r="E2949">
        <v>4</v>
      </c>
      <c r="F2949">
        <v>1</v>
      </c>
      <c r="G2949" t="s">
        <v>1044</v>
      </c>
      <c r="H2949">
        <f>_xlfn.XLOOKUP(D2949, productos!$A$2:$A$150, productos!$D$2:$D$150, "No Encontrado", 0)</f>
        <v>8.23</v>
      </c>
      <c r="I2949">
        <f t="shared" si="46"/>
        <v>32.92</v>
      </c>
    </row>
    <row r="2950" spans="1:9" x14ac:dyDescent="0.25">
      <c r="A2950">
        <v>1877</v>
      </c>
      <c r="B2950" s="1">
        <v>45650</v>
      </c>
      <c r="C2950">
        <v>298</v>
      </c>
      <c r="D2950">
        <v>5</v>
      </c>
      <c r="E2950">
        <v>6</v>
      </c>
      <c r="F2950">
        <v>1</v>
      </c>
      <c r="G2950" t="s">
        <v>1045</v>
      </c>
      <c r="H2950">
        <f>_xlfn.XLOOKUP(D2950, productos!$A$2:$A$150, productos!$D$2:$D$150, "No Encontrado", 0)</f>
        <v>5.65</v>
      </c>
      <c r="I2950">
        <f t="shared" si="46"/>
        <v>33.900000000000006</v>
      </c>
    </row>
    <row r="2951" spans="1:9" x14ac:dyDescent="0.25">
      <c r="A2951">
        <v>2003</v>
      </c>
      <c r="B2951" s="1">
        <v>45650</v>
      </c>
      <c r="C2951">
        <v>161</v>
      </c>
      <c r="D2951">
        <v>3</v>
      </c>
      <c r="E2951">
        <v>5</v>
      </c>
      <c r="F2951">
        <v>1</v>
      </c>
      <c r="G2951" t="s">
        <v>1044</v>
      </c>
      <c r="H2951">
        <f>_xlfn.XLOOKUP(D2951, productos!$A$2:$A$150, productos!$D$2:$D$150, "No Encontrado", 0)</f>
        <v>17.23</v>
      </c>
      <c r="I2951">
        <f t="shared" si="46"/>
        <v>86.15</v>
      </c>
    </row>
    <row r="2952" spans="1:9" x14ac:dyDescent="0.25">
      <c r="A2952">
        <v>2160</v>
      </c>
      <c r="B2952" s="1">
        <v>45650</v>
      </c>
      <c r="C2952">
        <v>321</v>
      </c>
      <c r="D2952">
        <v>13</v>
      </c>
      <c r="E2952">
        <v>5</v>
      </c>
      <c r="F2952">
        <v>4</v>
      </c>
      <c r="G2952" t="s">
        <v>1044</v>
      </c>
      <c r="H2952">
        <f>_xlfn.XLOOKUP(D2952, productos!$A$2:$A$150, productos!$D$2:$D$150, "No Encontrado", 0)</f>
        <v>12.56</v>
      </c>
      <c r="I2952">
        <f t="shared" si="46"/>
        <v>62.800000000000004</v>
      </c>
    </row>
    <row r="2953" spans="1:9" x14ac:dyDescent="0.25">
      <c r="A2953">
        <v>2219</v>
      </c>
      <c r="B2953" s="1">
        <v>45650</v>
      </c>
      <c r="C2953">
        <v>79</v>
      </c>
      <c r="D2953">
        <v>38</v>
      </c>
      <c r="E2953">
        <v>2</v>
      </c>
      <c r="F2953">
        <v>4</v>
      </c>
      <c r="G2953" t="s">
        <v>1045</v>
      </c>
      <c r="H2953">
        <f>_xlfn.XLOOKUP(D2953, productos!$A$2:$A$150, productos!$D$2:$D$150, "No Encontrado", 0)</f>
        <v>6.21</v>
      </c>
      <c r="I2953">
        <f t="shared" si="46"/>
        <v>12.42</v>
      </c>
    </row>
    <row r="2954" spans="1:9" x14ac:dyDescent="0.25">
      <c r="A2954">
        <v>2453</v>
      </c>
      <c r="B2954" s="1">
        <v>45650</v>
      </c>
      <c r="C2954">
        <v>217</v>
      </c>
      <c r="D2954">
        <v>26</v>
      </c>
      <c r="E2954">
        <v>5</v>
      </c>
      <c r="F2954">
        <v>1</v>
      </c>
      <c r="G2954" t="s">
        <v>1044</v>
      </c>
      <c r="H2954">
        <f>_xlfn.XLOOKUP(D2954, productos!$A$2:$A$150, productos!$D$2:$D$150, "No Encontrado", 0)</f>
        <v>9.5399999999999991</v>
      </c>
      <c r="I2954">
        <f t="shared" si="46"/>
        <v>47.699999999999996</v>
      </c>
    </row>
    <row r="2955" spans="1:9" x14ac:dyDescent="0.25">
      <c r="A2955">
        <v>2518</v>
      </c>
      <c r="B2955" s="1">
        <v>45650</v>
      </c>
      <c r="C2955">
        <v>107</v>
      </c>
      <c r="D2955">
        <v>10</v>
      </c>
      <c r="E2955">
        <v>4</v>
      </c>
      <c r="F2955">
        <v>4</v>
      </c>
      <c r="G2955" t="s">
        <v>1044</v>
      </c>
      <c r="H2955">
        <f>_xlfn.XLOOKUP(D2955, productos!$A$2:$A$150, productos!$D$2:$D$150, "No Encontrado", 0)</f>
        <v>14.25</v>
      </c>
      <c r="I2955">
        <f t="shared" si="46"/>
        <v>57</v>
      </c>
    </row>
    <row r="2956" spans="1:9" x14ac:dyDescent="0.25">
      <c r="A2956">
        <v>2699</v>
      </c>
      <c r="B2956" s="1">
        <v>45650</v>
      </c>
      <c r="C2956">
        <v>133</v>
      </c>
      <c r="D2956">
        <v>7</v>
      </c>
      <c r="E2956">
        <v>3</v>
      </c>
      <c r="F2956">
        <v>4</v>
      </c>
      <c r="G2956" t="s">
        <v>1045</v>
      </c>
      <c r="H2956">
        <f>_xlfn.XLOOKUP(D2956, productos!$A$2:$A$150, productos!$D$2:$D$150, "No Encontrado", 0)</f>
        <v>11.25</v>
      </c>
      <c r="I2956">
        <f t="shared" si="46"/>
        <v>33.75</v>
      </c>
    </row>
    <row r="2957" spans="1:9" x14ac:dyDescent="0.25">
      <c r="A2957">
        <v>2747</v>
      </c>
      <c r="B2957" s="1">
        <v>45650</v>
      </c>
      <c r="C2957">
        <v>54</v>
      </c>
      <c r="D2957">
        <v>24</v>
      </c>
      <c r="E2957">
        <v>1</v>
      </c>
      <c r="F2957">
        <v>1</v>
      </c>
      <c r="G2957" t="s">
        <v>1044</v>
      </c>
      <c r="H2957">
        <f>_xlfn.XLOOKUP(D2957, productos!$A$2:$A$150, productos!$D$2:$D$150, "No Encontrado", 0)</f>
        <v>13.54</v>
      </c>
      <c r="I2957">
        <f t="shared" si="46"/>
        <v>13.54</v>
      </c>
    </row>
    <row r="2958" spans="1:9" x14ac:dyDescent="0.25">
      <c r="A2958">
        <v>870</v>
      </c>
      <c r="B2958" s="1">
        <v>45651</v>
      </c>
      <c r="C2958">
        <v>113</v>
      </c>
      <c r="D2958">
        <v>12</v>
      </c>
      <c r="E2958">
        <v>5</v>
      </c>
      <c r="F2958">
        <v>3</v>
      </c>
      <c r="G2958" t="s">
        <v>1044</v>
      </c>
      <c r="H2958">
        <f>_xlfn.XLOOKUP(D2958, productos!$A$2:$A$150, productos!$D$2:$D$150, "No Encontrado", 0)</f>
        <v>8.1199999999999992</v>
      </c>
      <c r="I2958">
        <f t="shared" si="46"/>
        <v>40.599999999999994</v>
      </c>
    </row>
    <row r="2959" spans="1:9" x14ac:dyDescent="0.25">
      <c r="A2959">
        <v>973</v>
      </c>
      <c r="B2959" s="1">
        <v>45651</v>
      </c>
      <c r="C2959">
        <v>162</v>
      </c>
      <c r="D2959">
        <v>21</v>
      </c>
      <c r="E2959">
        <v>6</v>
      </c>
      <c r="F2959">
        <v>5</v>
      </c>
      <c r="G2959" t="s">
        <v>1044</v>
      </c>
      <c r="H2959">
        <f>_xlfn.XLOOKUP(D2959, productos!$A$2:$A$150, productos!$D$2:$D$150, "No Encontrado", 0)</f>
        <v>3.25</v>
      </c>
      <c r="I2959">
        <f t="shared" si="46"/>
        <v>19.5</v>
      </c>
    </row>
    <row r="2960" spans="1:9" x14ac:dyDescent="0.25">
      <c r="A2960">
        <v>1000</v>
      </c>
      <c r="B2960" s="1">
        <v>45651</v>
      </c>
      <c r="C2960">
        <v>151</v>
      </c>
      <c r="D2960">
        <v>35</v>
      </c>
      <c r="E2960">
        <v>3</v>
      </c>
      <c r="F2960">
        <v>3</v>
      </c>
      <c r="G2960" t="s">
        <v>1044</v>
      </c>
      <c r="H2960">
        <f>_xlfn.XLOOKUP(D2960, productos!$A$2:$A$150, productos!$D$2:$D$150, "No Encontrado", 0)</f>
        <v>4.25</v>
      </c>
      <c r="I2960">
        <f t="shared" si="46"/>
        <v>12.75</v>
      </c>
    </row>
    <row r="2961" spans="1:9" x14ac:dyDescent="0.25">
      <c r="A2961">
        <v>1014</v>
      </c>
      <c r="B2961" s="1">
        <v>45651</v>
      </c>
      <c r="C2961">
        <v>54</v>
      </c>
      <c r="D2961">
        <v>38</v>
      </c>
      <c r="E2961">
        <v>6</v>
      </c>
      <c r="F2961">
        <v>1</v>
      </c>
      <c r="G2961" t="s">
        <v>1044</v>
      </c>
      <c r="H2961">
        <f>_xlfn.XLOOKUP(D2961, productos!$A$2:$A$150, productos!$D$2:$D$150, "No Encontrado", 0)</f>
        <v>6.21</v>
      </c>
      <c r="I2961">
        <f t="shared" si="46"/>
        <v>37.26</v>
      </c>
    </row>
    <row r="2962" spans="1:9" x14ac:dyDescent="0.25">
      <c r="A2962">
        <v>1506</v>
      </c>
      <c r="B2962" s="1">
        <v>45651</v>
      </c>
      <c r="C2962">
        <v>144</v>
      </c>
      <c r="D2962">
        <v>8</v>
      </c>
      <c r="E2962">
        <v>2</v>
      </c>
      <c r="F2962">
        <v>5</v>
      </c>
      <c r="G2962" t="s">
        <v>1044</v>
      </c>
      <c r="H2962">
        <f>_xlfn.XLOOKUP(D2962, productos!$A$2:$A$150, productos!$D$2:$D$150, "No Encontrado", 0)</f>
        <v>16.21</v>
      </c>
      <c r="I2962">
        <f t="shared" si="46"/>
        <v>32.42</v>
      </c>
    </row>
    <row r="2963" spans="1:9" x14ac:dyDescent="0.25">
      <c r="A2963">
        <v>1529</v>
      </c>
      <c r="B2963" s="1">
        <v>45651</v>
      </c>
      <c r="C2963">
        <v>232</v>
      </c>
      <c r="D2963">
        <v>3</v>
      </c>
      <c r="E2963">
        <v>6</v>
      </c>
      <c r="F2963">
        <v>1</v>
      </c>
      <c r="G2963" t="s">
        <v>1044</v>
      </c>
      <c r="H2963">
        <f>_xlfn.XLOOKUP(D2963, productos!$A$2:$A$150, productos!$D$2:$D$150, "No Encontrado", 0)</f>
        <v>17.23</v>
      </c>
      <c r="I2963">
        <f t="shared" si="46"/>
        <v>103.38</v>
      </c>
    </row>
    <row r="2964" spans="1:9" x14ac:dyDescent="0.25">
      <c r="A2964">
        <v>1916</v>
      </c>
      <c r="B2964" s="1">
        <v>45651</v>
      </c>
      <c r="C2964">
        <v>98</v>
      </c>
      <c r="D2964">
        <v>30</v>
      </c>
      <c r="E2964">
        <v>4</v>
      </c>
      <c r="F2964">
        <v>4</v>
      </c>
      <c r="G2964" t="s">
        <v>1044</v>
      </c>
      <c r="H2964">
        <f>_xlfn.XLOOKUP(D2964, productos!$A$2:$A$150, productos!$D$2:$D$150, "No Encontrado", 0)</f>
        <v>13.54</v>
      </c>
      <c r="I2964">
        <f t="shared" si="46"/>
        <v>54.16</v>
      </c>
    </row>
    <row r="2965" spans="1:9" x14ac:dyDescent="0.25">
      <c r="A2965">
        <v>1977</v>
      </c>
      <c r="B2965" s="1">
        <v>45651</v>
      </c>
      <c r="C2965">
        <v>36</v>
      </c>
      <c r="D2965">
        <v>38</v>
      </c>
      <c r="E2965">
        <v>5</v>
      </c>
      <c r="F2965">
        <v>5</v>
      </c>
      <c r="G2965" t="s">
        <v>1044</v>
      </c>
      <c r="H2965">
        <f>_xlfn.XLOOKUP(D2965, productos!$A$2:$A$150, productos!$D$2:$D$150, "No Encontrado", 0)</f>
        <v>6.21</v>
      </c>
      <c r="I2965">
        <f t="shared" si="46"/>
        <v>31.05</v>
      </c>
    </row>
    <row r="2966" spans="1:9" x14ac:dyDescent="0.25">
      <c r="A2966">
        <v>2305</v>
      </c>
      <c r="B2966" s="1">
        <v>45651</v>
      </c>
      <c r="C2966">
        <v>109</v>
      </c>
      <c r="D2966">
        <v>27</v>
      </c>
      <c r="E2966">
        <v>6</v>
      </c>
      <c r="F2966">
        <v>4</v>
      </c>
      <c r="G2966" t="s">
        <v>1044</v>
      </c>
      <c r="H2966">
        <f>_xlfn.XLOOKUP(D2966, productos!$A$2:$A$150, productos!$D$2:$D$150, "No Encontrado", 0)</f>
        <v>6.21</v>
      </c>
      <c r="I2966">
        <f t="shared" si="46"/>
        <v>37.26</v>
      </c>
    </row>
    <row r="2967" spans="1:9" x14ac:dyDescent="0.25">
      <c r="A2967">
        <v>2333</v>
      </c>
      <c r="B2967" s="1">
        <v>45651</v>
      </c>
      <c r="C2967">
        <v>304</v>
      </c>
      <c r="D2967">
        <v>10</v>
      </c>
      <c r="E2967">
        <v>6</v>
      </c>
      <c r="F2967">
        <v>3</v>
      </c>
      <c r="G2967" t="s">
        <v>1044</v>
      </c>
      <c r="H2967">
        <f>_xlfn.XLOOKUP(D2967, productos!$A$2:$A$150, productos!$D$2:$D$150, "No Encontrado", 0)</f>
        <v>14.25</v>
      </c>
      <c r="I2967">
        <f t="shared" si="46"/>
        <v>85.5</v>
      </c>
    </row>
    <row r="2968" spans="1:9" x14ac:dyDescent="0.25">
      <c r="A2968">
        <v>1241</v>
      </c>
      <c r="B2968" s="1">
        <v>45652</v>
      </c>
      <c r="C2968">
        <v>82</v>
      </c>
      <c r="D2968">
        <v>8</v>
      </c>
      <c r="E2968">
        <v>4</v>
      </c>
      <c r="F2968">
        <v>1</v>
      </c>
      <c r="G2968" t="s">
        <v>1044</v>
      </c>
      <c r="H2968">
        <f>_xlfn.XLOOKUP(D2968, productos!$A$2:$A$150, productos!$D$2:$D$150, "No Encontrado", 0)</f>
        <v>16.21</v>
      </c>
      <c r="I2968">
        <f t="shared" si="46"/>
        <v>64.84</v>
      </c>
    </row>
    <row r="2969" spans="1:9" x14ac:dyDescent="0.25">
      <c r="A2969">
        <v>1487</v>
      </c>
      <c r="B2969" s="1">
        <v>45652</v>
      </c>
      <c r="C2969">
        <v>79</v>
      </c>
      <c r="D2969">
        <v>11</v>
      </c>
      <c r="E2969">
        <v>2</v>
      </c>
      <c r="F2969">
        <v>1</v>
      </c>
      <c r="G2969" t="s">
        <v>1045</v>
      </c>
      <c r="H2969">
        <f>_xlfn.XLOOKUP(D2969, productos!$A$2:$A$150, productos!$D$2:$D$150, "No Encontrado", 0)</f>
        <v>11.23</v>
      </c>
      <c r="I2969">
        <f t="shared" si="46"/>
        <v>22.46</v>
      </c>
    </row>
    <row r="2970" spans="1:9" x14ac:dyDescent="0.25">
      <c r="A2970">
        <v>2188</v>
      </c>
      <c r="B2970" s="1">
        <v>45652</v>
      </c>
      <c r="C2970">
        <v>17</v>
      </c>
      <c r="D2970">
        <v>28</v>
      </c>
      <c r="E2970">
        <v>3</v>
      </c>
      <c r="F2970">
        <v>1</v>
      </c>
      <c r="G2970" t="s">
        <v>1045</v>
      </c>
      <c r="H2970">
        <f>_xlfn.XLOOKUP(D2970, productos!$A$2:$A$150, productos!$D$2:$D$150, "No Encontrado", 0)</f>
        <v>9.4499999999999993</v>
      </c>
      <c r="I2970">
        <f t="shared" si="46"/>
        <v>28.349999999999998</v>
      </c>
    </row>
    <row r="2971" spans="1:9" x14ac:dyDescent="0.25">
      <c r="A2971">
        <v>2350</v>
      </c>
      <c r="B2971" s="1">
        <v>45652</v>
      </c>
      <c r="C2971">
        <v>253</v>
      </c>
      <c r="D2971">
        <v>1</v>
      </c>
      <c r="E2971">
        <v>3</v>
      </c>
      <c r="F2971">
        <v>5</v>
      </c>
      <c r="G2971" t="s">
        <v>1044</v>
      </c>
      <c r="H2971">
        <f>_xlfn.XLOOKUP(D2971, productos!$A$2:$A$150, productos!$D$2:$D$150, "No Encontrado", 0)</f>
        <v>12.24</v>
      </c>
      <c r="I2971">
        <f t="shared" si="46"/>
        <v>36.72</v>
      </c>
    </row>
    <row r="2972" spans="1:9" x14ac:dyDescent="0.25">
      <c r="A2972">
        <v>2775</v>
      </c>
      <c r="B2972" s="1">
        <v>45652</v>
      </c>
      <c r="C2972">
        <v>159</v>
      </c>
      <c r="D2972">
        <v>9</v>
      </c>
      <c r="E2972">
        <v>4</v>
      </c>
      <c r="F2972">
        <v>3</v>
      </c>
      <c r="G2972" t="s">
        <v>1044</v>
      </c>
      <c r="H2972">
        <f>_xlfn.XLOOKUP(D2972, productos!$A$2:$A$150, productos!$D$2:$D$150, "No Encontrado", 0)</f>
        <v>18.559999999999999</v>
      </c>
      <c r="I2972">
        <f t="shared" si="46"/>
        <v>74.239999999999995</v>
      </c>
    </row>
    <row r="2973" spans="1:9" x14ac:dyDescent="0.25">
      <c r="A2973">
        <v>2850</v>
      </c>
      <c r="B2973" s="1">
        <v>45652</v>
      </c>
      <c r="C2973">
        <v>202</v>
      </c>
      <c r="D2973">
        <v>28</v>
      </c>
      <c r="E2973">
        <v>6</v>
      </c>
      <c r="F2973">
        <v>1</v>
      </c>
      <c r="G2973" t="s">
        <v>1044</v>
      </c>
      <c r="H2973">
        <f>_xlfn.XLOOKUP(D2973, productos!$A$2:$A$150, productos!$D$2:$D$150, "No Encontrado", 0)</f>
        <v>9.4499999999999993</v>
      </c>
      <c r="I2973">
        <f t="shared" si="46"/>
        <v>56.699999999999996</v>
      </c>
    </row>
    <row r="2974" spans="1:9" x14ac:dyDescent="0.25">
      <c r="A2974">
        <v>1076</v>
      </c>
      <c r="B2974" s="1">
        <v>45653</v>
      </c>
      <c r="C2974">
        <v>316</v>
      </c>
      <c r="D2974">
        <v>2</v>
      </c>
      <c r="E2974">
        <v>1</v>
      </c>
      <c r="F2974">
        <v>3</v>
      </c>
      <c r="G2974" t="s">
        <v>1044</v>
      </c>
      <c r="H2974">
        <f>_xlfn.XLOOKUP(D2974, productos!$A$2:$A$150, productos!$D$2:$D$150, "No Encontrado", 0)</f>
        <v>5.21</v>
      </c>
      <c r="I2974">
        <f t="shared" si="46"/>
        <v>5.21</v>
      </c>
    </row>
    <row r="2975" spans="1:9" x14ac:dyDescent="0.25">
      <c r="A2975">
        <v>1344</v>
      </c>
      <c r="B2975" s="1">
        <v>45653</v>
      </c>
      <c r="C2975">
        <v>261</v>
      </c>
      <c r="D2975">
        <v>30</v>
      </c>
      <c r="E2975">
        <v>4</v>
      </c>
      <c r="F2975">
        <v>3</v>
      </c>
      <c r="G2975" t="s">
        <v>1045</v>
      </c>
      <c r="H2975">
        <f>_xlfn.XLOOKUP(D2975, productos!$A$2:$A$150, productos!$D$2:$D$150, "No Encontrado", 0)</f>
        <v>13.54</v>
      </c>
      <c r="I2975">
        <f t="shared" si="46"/>
        <v>54.16</v>
      </c>
    </row>
    <row r="2976" spans="1:9" x14ac:dyDescent="0.25">
      <c r="A2976">
        <v>406</v>
      </c>
      <c r="B2976" s="1">
        <v>45654</v>
      </c>
      <c r="C2976">
        <v>161</v>
      </c>
      <c r="D2976">
        <v>35</v>
      </c>
      <c r="E2976">
        <v>6</v>
      </c>
      <c r="F2976">
        <v>4</v>
      </c>
      <c r="G2976" t="s">
        <v>1044</v>
      </c>
      <c r="H2976">
        <f>_xlfn.XLOOKUP(D2976, productos!$A$2:$A$150, productos!$D$2:$D$150, "No Encontrado", 0)</f>
        <v>4.25</v>
      </c>
      <c r="I2976">
        <f t="shared" si="46"/>
        <v>25.5</v>
      </c>
    </row>
    <row r="2977" spans="1:9" x14ac:dyDescent="0.25">
      <c r="A2977">
        <v>585</v>
      </c>
      <c r="B2977" s="1">
        <v>45654</v>
      </c>
      <c r="C2977">
        <v>192</v>
      </c>
      <c r="D2977">
        <v>22</v>
      </c>
      <c r="E2977">
        <v>3</v>
      </c>
      <c r="F2977">
        <v>3</v>
      </c>
      <c r="G2977" t="s">
        <v>1044</v>
      </c>
      <c r="H2977">
        <f>_xlfn.XLOOKUP(D2977, productos!$A$2:$A$150, productos!$D$2:$D$150, "No Encontrado", 0)</f>
        <v>4.21</v>
      </c>
      <c r="I2977">
        <f t="shared" si="46"/>
        <v>12.629999999999999</v>
      </c>
    </row>
    <row r="2978" spans="1:9" x14ac:dyDescent="0.25">
      <c r="A2978">
        <v>1013</v>
      </c>
      <c r="B2978" s="1">
        <v>45654</v>
      </c>
      <c r="C2978">
        <v>72</v>
      </c>
      <c r="D2978">
        <v>9</v>
      </c>
      <c r="E2978">
        <v>5</v>
      </c>
      <c r="F2978">
        <v>4</v>
      </c>
      <c r="G2978" t="s">
        <v>1044</v>
      </c>
      <c r="H2978">
        <f>_xlfn.XLOOKUP(D2978, productos!$A$2:$A$150, productos!$D$2:$D$150, "No Encontrado", 0)</f>
        <v>18.559999999999999</v>
      </c>
      <c r="I2978">
        <f t="shared" si="46"/>
        <v>92.8</v>
      </c>
    </row>
    <row r="2979" spans="1:9" x14ac:dyDescent="0.25">
      <c r="A2979">
        <v>1104</v>
      </c>
      <c r="B2979" s="1">
        <v>45654</v>
      </c>
      <c r="C2979">
        <v>176</v>
      </c>
      <c r="D2979">
        <v>6</v>
      </c>
      <c r="E2979">
        <v>4</v>
      </c>
      <c r="F2979">
        <v>2</v>
      </c>
      <c r="G2979" t="s">
        <v>1044</v>
      </c>
      <c r="H2979">
        <f>_xlfn.XLOOKUP(D2979, productos!$A$2:$A$150, productos!$D$2:$D$150, "No Encontrado", 0)</f>
        <v>28.56</v>
      </c>
      <c r="I2979">
        <f t="shared" si="46"/>
        <v>114.24</v>
      </c>
    </row>
    <row r="2980" spans="1:9" x14ac:dyDescent="0.25">
      <c r="A2980">
        <v>1202</v>
      </c>
      <c r="B2980" s="1">
        <v>45654</v>
      </c>
      <c r="C2980">
        <v>45</v>
      </c>
      <c r="D2980">
        <v>8</v>
      </c>
      <c r="E2980">
        <v>2</v>
      </c>
      <c r="F2980">
        <v>4</v>
      </c>
      <c r="G2980" t="s">
        <v>1044</v>
      </c>
      <c r="H2980">
        <f>_xlfn.XLOOKUP(D2980, productos!$A$2:$A$150, productos!$D$2:$D$150, "No Encontrado", 0)</f>
        <v>16.21</v>
      </c>
      <c r="I2980">
        <f t="shared" si="46"/>
        <v>32.42</v>
      </c>
    </row>
    <row r="2981" spans="1:9" x14ac:dyDescent="0.25">
      <c r="A2981">
        <v>1365</v>
      </c>
      <c r="B2981" s="1">
        <v>45654</v>
      </c>
      <c r="C2981">
        <v>176</v>
      </c>
      <c r="D2981">
        <v>31</v>
      </c>
      <c r="E2981">
        <v>2</v>
      </c>
      <c r="F2981">
        <v>4</v>
      </c>
      <c r="G2981" t="s">
        <v>1044</v>
      </c>
      <c r="H2981">
        <f>_xlfn.XLOOKUP(D2981, productos!$A$2:$A$150, productos!$D$2:$D$150, "No Encontrado", 0)</f>
        <v>5.24</v>
      </c>
      <c r="I2981">
        <f t="shared" si="46"/>
        <v>10.48</v>
      </c>
    </row>
    <row r="2982" spans="1:9" x14ac:dyDescent="0.25">
      <c r="A2982">
        <v>1770</v>
      </c>
      <c r="B2982" s="1">
        <v>45654</v>
      </c>
      <c r="C2982">
        <v>263</v>
      </c>
      <c r="D2982">
        <v>36</v>
      </c>
      <c r="E2982">
        <v>1</v>
      </c>
      <c r="F2982">
        <v>5</v>
      </c>
      <c r="G2982" t="s">
        <v>1044</v>
      </c>
      <c r="H2982">
        <f>_xlfn.XLOOKUP(D2982, productos!$A$2:$A$150, productos!$D$2:$D$150, "No Encontrado", 0)</f>
        <v>3.25</v>
      </c>
      <c r="I2982">
        <f t="shared" si="46"/>
        <v>3.25</v>
      </c>
    </row>
    <row r="2983" spans="1:9" x14ac:dyDescent="0.25">
      <c r="A2983">
        <v>2472</v>
      </c>
      <c r="B2983" s="1">
        <v>45654</v>
      </c>
      <c r="C2983">
        <v>236</v>
      </c>
      <c r="D2983">
        <v>26</v>
      </c>
      <c r="E2983">
        <v>4</v>
      </c>
      <c r="F2983">
        <v>2</v>
      </c>
      <c r="G2983" t="s">
        <v>1044</v>
      </c>
      <c r="H2983">
        <f>_xlfn.XLOOKUP(D2983, productos!$A$2:$A$150, productos!$D$2:$D$150, "No Encontrado", 0)</f>
        <v>9.5399999999999991</v>
      </c>
      <c r="I2983">
        <f t="shared" si="46"/>
        <v>38.159999999999997</v>
      </c>
    </row>
    <row r="2984" spans="1:9" x14ac:dyDescent="0.25">
      <c r="A2984">
        <v>2640</v>
      </c>
      <c r="B2984" s="1">
        <v>45654</v>
      </c>
      <c r="C2984">
        <v>25</v>
      </c>
      <c r="D2984">
        <v>30</v>
      </c>
      <c r="E2984">
        <v>1</v>
      </c>
      <c r="F2984">
        <v>5</v>
      </c>
      <c r="G2984" t="s">
        <v>1044</v>
      </c>
      <c r="H2984">
        <f>_xlfn.XLOOKUP(D2984, productos!$A$2:$A$150, productos!$D$2:$D$150, "No Encontrado", 0)</f>
        <v>13.54</v>
      </c>
      <c r="I2984">
        <f t="shared" si="46"/>
        <v>13.54</v>
      </c>
    </row>
    <row r="2985" spans="1:9" x14ac:dyDescent="0.25">
      <c r="A2985">
        <v>2782</v>
      </c>
      <c r="B2985" s="1">
        <v>45654</v>
      </c>
      <c r="C2985">
        <v>119</v>
      </c>
      <c r="D2985">
        <v>27</v>
      </c>
      <c r="E2985">
        <v>2</v>
      </c>
      <c r="F2985">
        <v>4</v>
      </c>
      <c r="G2985" t="s">
        <v>1044</v>
      </c>
      <c r="H2985">
        <f>_xlfn.XLOOKUP(D2985, productos!$A$2:$A$150, productos!$D$2:$D$150, "No Encontrado", 0)</f>
        <v>6.21</v>
      </c>
      <c r="I2985">
        <f t="shared" si="46"/>
        <v>12.42</v>
      </c>
    </row>
    <row r="2986" spans="1:9" x14ac:dyDescent="0.25">
      <c r="A2986">
        <v>529</v>
      </c>
      <c r="B2986" s="1">
        <v>45655</v>
      </c>
      <c r="C2986">
        <v>212</v>
      </c>
      <c r="D2986">
        <v>12</v>
      </c>
      <c r="E2986">
        <v>6</v>
      </c>
      <c r="F2986">
        <v>2</v>
      </c>
      <c r="G2986" t="s">
        <v>1044</v>
      </c>
      <c r="H2986">
        <f>_xlfn.XLOOKUP(D2986, productos!$A$2:$A$150, productos!$D$2:$D$150, "No Encontrado", 0)</f>
        <v>8.1199999999999992</v>
      </c>
      <c r="I2986">
        <f t="shared" si="46"/>
        <v>48.72</v>
      </c>
    </row>
    <row r="2987" spans="1:9" x14ac:dyDescent="0.25">
      <c r="A2987">
        <v>721</v>
      </c>
      <c r="B2987" s="1">
        <v>45655</v>
      </c>
      <c r="C2987">
        <v>148</v>
      </c>
      <c r="D2987">
        <v>16</v>
      </c>
      <c r="E2987">
        <v>2</v>
      </c>
      <c r="F2987">
        <v>2</v>
      </c>
      <c r="G2987" t="s">
        <v>1044</v>
      </c>
      <c r="H2987">
        <f>_xlfn.XLOOKUP(D2987, productos!$A$2:$A$150, productos!$D$2:$D$150, "No Encontrado", 0)</f>
        <v>15.23</v>
      </c>
      <c r="I2987">
        <f t="shared" si="46"/>
        <v>30.46</v>
      </c>
    </row>
    <row r="2988" spans="1:9" x14ac:dyDescent="0.25">
      <c r="A2988">
        <v>850</v>
      </c>
      <c r="B2988" s="1">
        <v>45655</v>
      </c>
      <c r="C2988">
        <v>194</v>
      </c>
      <c r="D2988">
        <v>31</v>
      </c>
      <c r="E2988">
        <v>1</v>
      </c>
      <c r="F2988">
        <v>5</v>
      </c>
      <c r="G2988" t="s">
        <v>1044</v>
      </c>
      <c r="H2988">
        <f>_xlfn.XLOOKUP(D2988, productos!$A$2:$A$150, productos!$D$2:$D$150, "No Encontrado", 0)</f>
        <v>5.24</v>
      </c>
      <c r="I2988">
        <f t="shared" si="46"/>
        <v>5.24</v>
      </c>
    </row>
    <row r="2989" spans="1:9" x14ac:dyDescent="0.25">
      <c r="A2989">
        <v>1285</v>
      </c>
      <c r="B2989" s="1">
        <v>45655</v>
      </c>
      <c r="C2989">
        <v>10</v>
      </c>
      <c r="D2989">
        <v>33</v>
      </c>
      <c r="E2989">
        <v>4</v>
      </c>
      <c r="F2989">
        <v>3</v>
      </c>
      <c r="G2989" t="s">
        <v>1044</v>
      </c>
      <c r="H2989">
        <f>_xlfn.XLOOKUP(D2989, productos!$A$2:$A$150, productos!$D$2:$D$150, "No Encontrado", 0)</f>
        <v>8.5399999999999991</v>
      </c>
      <c r="I2989">
        <f t="shared" si="46"/>
        <v>34.159999999999997</v>
      </c>
    </row>
    <row r="2990" spans="1:9" x14ac:dyDescent="0.25">
      <c r="A2990">
        <v>1511</v>
      </c>
      <c r="B2990" s="1">
        <v>45655</v>
      </c>
      <c r="C2990">
        <v>141</v>
      </c>
      <c r="D2990">
        <v>31</v>
      </c>
      <c r="E2990">
        <v>5</v>
      </c>
      <c r="F2990">
        <v>4</v>
      </c>
      <c r="G2990" t="s">
        <v>1044</v>
      </c>
      <c r="H2990">
        <f>_xlfn.XLOOKUP(D2990, productos!$A$2:$A$150, productos!$D$2:$D$150, "No Encontrado", 0)</f>
        <v>5.24</v>
      </c>
      <c r="I2990">
        <f t="shared" si="46"/>
        <v>26.200000000000003</v>
      </c>
    </row>
    <row r="2991" spans="1:9" x14ac:dyDescent="0.25">
      <c r="A2991">
        <v>1715</v>
      </c>
      <c r="B2991" s="1">
        <v>45655</v>
      </c>
      <c r="C2991">
        <v>87</v>
      </c>
      <c r="D2991">
        <v>5</v>
      </c>
      <c r="E2991">
        <v>1</v>
      </c>
      <c r="F2991">
        <v>1</v>
      </c>
      <c r="G2991" t="s">
        <v>1044</v>
      </c>
      <c r="H2991">
        <f>_xlfn.XLOOKUP(D2991, productos!$A$2:$A$150, productos!$D$2:$D$150, "No Encontrado", 0)</f>
        <v>5.65</v>
      </c>
      <c r="I2991">
        <f t="shared" si="46"/>
        <v>5.65</v>
      </c>
    </row>
    <row r="2992" spans="1:9" x14ac:dyDescent="0.25">
      <c r="A2992">
        <v>2446</v>
      </c>
      <c r="B2992" s="1">
        <v>45655</v>
      </c>
      <c r="C2992">
        <v>302</v>
      </c>
      <c r="D2992">
        <v>8</v>
      </c>
      <c r="E2992">
        <v>4</v>
      </c>
      <c r="F2992">
        <v>3</v>
      </c>
      <c r="G2992" t="s">
        <v>1044</v>
      </c>
      <c r="H2992">
        <f>_xlfn.XLOOKUP(D2992, productos!$A$2:$A$150, productos!$D$2:$D$150, "No Encontrado", 0)</f>
        <v>16.21</v>
      </c>
      <c r="I2992">
        <f t="shared" si="46"/>
        <v>64.84</v>
      </c>
    </row>
    <row r="2993" spans="1:9" x14ac:dyDescent="0.25">
      <c r="A2993">
        <v>2643</v>
      </c>
      <c r="B2993" s="1">
        <v>45655</v>
      </c>
      <c r="C2993">
        <v>121</v>
      </c>
      <c r="D2993">
        <v>12</v>
      </c>
      <c r="E2993">
        <v>5</v>
      </c>
      <c r="F2993">
        <v>4</v>
      </c>
      <c r="G2993" t="s">
        <v>1044</v>
      </c>
      <c r="H2993">
        <f>_xlfn.XLOOKUP(D2993, productos!$A$2:$A$150, productos!$D$2:$D$150, "No Encontrado", 0)</f>
        <v>8.1199999999999992</v>
      </c>
      <c r="I2993">
        <f t="shared" si="46"/>
        <v>40.599999999999994</v>
      </c>
    </row>
    <row r="2994" spans="1:9" x14ac:dyDescent="0.25">
      <c r="A2994">
        <v>2792</v>
      </c>
      <c r="B2994" s="1">
        <v>45655</v>
      </c>
      <c r="C2994">
        <v>109</v>
      </c>
      <c r="D2994">
        <v>34</v>
      </c>
      <c r="E2994">
        <v>4</v>
      </c>
      <c r="F2994">
        <v>4</v>
      </c>
      <c r="G2994" t="s">
        <v>1045</v>
      </c>
      <c r="H2994">
        <f>_xlfn.XLOOKUP(D2994, productos!$A$2:$A$150, productos!$D$2:$D$150, "No Encontrado", 0)</f>
        <v>5.45</v>
      </c>
      <c r="I2994">
        <f t="shared" si="46"/>
        <v>21.8</v>
      </c>
    </row>
    <row r="2995" spans="1:9" x14ac:dyDescent="0.25">
      <c r="A2995">
        <v>563</v>
      </c>
      <c r="B2995" s="1">
        <v>45656</v>
      </c>
      <c r="C2995">
        <v>272</v>
      </c>
      <c r="D2995">
        <v>25</v>
      </c>
      <c r="E2995">
        <v>5</v>
      </c>
      <c r="F2995">
        <v>4</v>
      </c>
      <c r="G2995" t="s">
        <v>1044</v>
      </c>
      <c r="H2995">
        <f>_xlfn.XLOOKUP(D2995, productos!$A$2:$A$150, productos!$D$2:$D$150, "No Encontrado", 0)</f>
        <v>15.45</v>
      </c>
      <c r="I2995">
        <f t="shared" si="46"/>
        <v>77.25</v>
      </c>
    </row>
    <row r="2996" spans="1:9" x14ac:dyDescent="0.25">
      <c r="A2996">
        <v>900</v>
      </c>
      <c r="B2996" s="1">
        <v>45656</v>
      </c>
      <c r="C2996">
        <v>248</v>
      </c>
      <c r="D2996">
        <v>10</v>
      </c>
      <c r="E2996">
        <v>5</v>
      </c>
      <c r="F2996">
        <v>1</v>
      </c>
      <c r="G2996" t="s">
        <v>1044</v>
      </c>
      <c r="H2996">
        <f>_xlfn.XLOOKUP(D2996, productos!$A$2:$A$150, productos!$D$2:$D$150, "No Encontrado", 0)</f>
        <v>14.25</v>
      </c>
      <c r="I2996">
        <f t="shared" si="46"/>
        <v>71.25</v>
      </c>
    </row>
    <row r="2997" spans="1:9" x14ac:dyDescent="0.25">
      <c r="A2997">
        <v>954</v>
      </c>
      <c r="B2997" s="1">
        <v>45656</v>
      </c>
      <c r="C2997">
        <v>44</v>
      </c>
      <c r="D2997">
        <v>12</v>
      </c>
      <c r="E2997">
        <v>6</v>
      </c>
      <c r="F2997">
        <v>4</v>
      </c>
      <c r="G2997" t="s">
        <v>1044</v>
      </c>
      <c r="H2997">
        <f>_xlfn.XLOOKUP(D2997, productos!$A$2:$A$150, productos!$D$2:$D$150, "No Encontrado", 0)</f>
        <v>8.1199999999999992</v>
      </c>
      <c r="I2997">
        <f t="shared" si="46"/>
        <v>48.72</v>
      </c>
    </row>
    <row r="2998" spans="1:9" x14ac:dyDescent="0.25">
      <c r="A2998">
        <v>1390</v>
      </c>
      <c r="B2998" s="1">
        <v>45656</v>
      </c>
      <c r="C2998">
        <v>26</v>
      </c>
      <c r="D2998">
        <v>31</v>
      </c>
      <c r="E2998">
        <v>3</v>
      </c>
      <c r="F2998">
        <v>4</v>
      </c>
      <c r="G2998" t="s">
        <v>1044</v>
      </c>
      <c r="H2998">
        <f>_xlfn.XLOOKUP(D2998, productos!$A$2:$A$150, productos!$D$2:$D$150, "No Encontrado", 0)</f>
        <v>5.24</v>
      </c>
      <c r="I2998">
        <f t="shared" si="46"/>
        <v>15.72</v>
      </c>
    </row>
    <row r="2999" spans="1:9" x14ac:dyDescent="0.25">
      <c r="A2999">
        <v>1519</v>
      </c>
      <c r="B2999" s="1">
        <v>45656</v>
      </c>
      <c r="C2999">
        <v>246</v>
      </c>
      <c r="D2999">
        <v>11</v>
      </c>
      <c r="E2999">
        <v>3</v>
      </c>
      <c r="F2999">
        <v>3</v>
      </c>
      <c r="G2999" t="s">
        <v>1044</v>
      </c>
      <c r="H2999">
        <f>_xlfn.XLOOKUP(D2999, productos!$A$2:$A$150, productos!$D$2:$D$150, "No Encontrado", 0)</f>
        <v>11.23</v>
      </c>
      <c r="I2999">
        <f t="shared" si="46"/>
        <v>33.69</v>
      </c>
    </row>
    <row r="3000" spans="1:9" x14ac:dyDescent="0.25">
      <c r="A3000">
        <v>2147</v>
      </c>
      <c r="B3000" s="1">
        <v>45656</v>
      </c>
      <c r="C3000">
        <v>231</v>
      </c>
      <c r="D3000">
        <v>22</v>
      </c>
      <c r="E3000">
        <v>2</v>
      </c>
      <c r="F3000">
        <v>1</v>
      </c>
      <c r="G3000" t="s">
        <v>1045</v>
      </c>
      <c r="H3000">
        <f>_xlfn.XLOOKUP(D3000, productos!$A$2:$A$150, productos!$D$2:$D$150, "No Encontrado", 0)</f>
        <v>4.21</v>
      </c>
      <c r="I3000">
        <f t="shared" si="46"/>
        <v>8.42</v>
      </c>
    </row>
    <row r="3001" spans="1:9" x14ac:dyDescent="0.25">
      <c r="A3001">
        <v>2239</v>
      </c>
      <c r="B3001" s="1">
        <v>45656</v>
      </c>
      <c r="C3001">
        <v>172</v>
      </c>
      <c r="D3001">
        <v>17</v>
      </c>
      <c r="E3001">
        <v>3</v>
      </c>
      <c r="F3001">
        <v>3</v>
      </c>
      <c r="G3001" t="s">
        <v>1044</v>
      </c>
      <c r="H3001">
        <f>_xlfn.XLOOKUP(D3001, productos!$A$2:$A$150, productos!$D$2:$D$150, "No Encontrado", 0)</f>
        <v>6.54</v>
      </c>
      <c r="I3001">
        <f t="shared" si="46"/>
        <v>19.62</v>
      </c>
    </row>
  </sheetData>
  <dataValidations count="3">
    <dataValidation type="whole" operator="greaterThanOrEqual" allowBlank="1" showInputMessage="1" showErrorMessage="1" sqref="A2:A3001 C1:E3001" xr:uid="{BAE8197F-9735-4024-A482-C2FF44B087C7}">
      <formula1>1</formula1>
    </dataValidation>
    <dataValidation type="date" allowBlank="1" showInputMessage="1" showErrorMessage="1" sqref="B1:B3001" xr:uid="{1528D9D5-665A-425E-9153-3FDB09C5E7B7}">
      <formula1>45292</formula1>
      <formula2>45657</formula2>
    </dataValidation>
    <dataValidation type="whole" allowBlank="1" showInputMessage="1" showErrorMessage="1" sqref="F1:F3001" xr:uid="{2204B10B-4810-4226-A1FB-70DCB7F77AA9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C7C3-55F5-4A0F-9A66-5D8A0F1F5C79}">
  <dimension ref="A1:E39"/>
  <sheetViews>
    <sheetView workbookViewId="0"/>
  </sheetViews>
  <sheetFormatPr baseColWidth="10" defaultRowHeight="15" x14ac:dyDescent="0.25"/>
  <cols>
    <col min="1" max="1" width="14.28515625" bestFit="1" customWidth="1"/>
    <col min="2" max="2" width="24.28515625" bestFit="1" customWidth="1"/>
    <col min="3" max="3" width="17.5703125" bestFit="1" customWidth="1"/>
    <col min="4" max="4" width="17" bestFit="1" customWidth="1"/>
    <col min="5" max="5" width="8.28515625" bestFit="1" customWidth="1"/>
  </cols>
  <sheetData>
    <row r="1" spans="1:5" x14ac:dyDescent="0.25">
      <c r="A1" t="s">
        <v>997</v>
      </c>
      <c r="B1" t="s">
        <v>998</v>
      </c>
      <c r="C1" t="s">
        <v>979</v>
      </c>
      <c r="D1" t="s">
        <v>999</v>
      </c>
      <c r="E1" t="s">
        <v>1000</v>
      </c>
    </row>
    <row r="2" spans="1:5" x14ac:dyDescent="0.25">
      <c r="A2" s="2">
        <v>1</v>
      </c>
      <c r="B2" t="s">
        <v>1001</v>
      </c>
      <c r="C2" t="s">
        <v>981</v>
      </c>
      <c r="D2">
        <v>12.24</v>
      </c>
      <c r="E2">
        <v>3327</v>
      </c>
    </row>
    <row r="3" spans="1:5" x14ac:dyDescent="0.25">
      <c r="A3" s="2">
        <v>2</v>
      </c>
      <c r="B3" t="s">
        <v>1002</v>
      </c>
      <c r="C3" t="s">
        <v>981</v>
      </c>
      <c r="D3">
        <v>5.21</v>
      </c>
      <c r="E3">
        <v>3358</v>
      </c>
    </row>
    <row r="4" spans="1:5" x14ac:dyDescent="0.25">
      <c r="A4" s="2">
        <v>3</v>
      </c>
      <c r="B4" t="s">
        <v>1003</v>
      </c>
      <c r="C4" t="s">
        <v>981</v>
      </c>
      <c r="D4">
        <v>17.23</v>
      </c>
      <c r="E4">
        <v>3167</v>
      </c>
    </row>
    <row r="5" spans="1:5" x14ac:dyDescent="0.25">
      <c r="A5" s="2">
        <v>4</v>
      </c>
      <c r="B5" t="s">
        <v>1004</v>
      </c>
      <c r="C5" t="s">
        <v>981</v>
      </c>
      <c r="D5">
        <v>19.23</v>
      </c>
      <c r="E5">
        <v>2099</v>
      </c>
    </row>
    <row r="6" spans="1:5" x14ac:dyDescent="0.25">
      <c r="A6" s="2">
        <v>5</v>
      </c>
      <c r="B6" t="s">
        <v>1005</v>
      </c>
      <c r="C6" t="s">
        <v>981</v>
      </c>
      <c r="D6">
        <v>5.65</v>
      </c>
      <c r="E6">
        <v>4929</v>
      </c>
    </row>
    <row r="7" spans="1:5" x14ac:dyDescent="0.25">
      <c r="A7" s="2">
        <v>6</v>
      </c>
      <c r="B7" t="s">
        <v>1006</v>
      </c>
      <c r="C7" t="s">
        <v>983</v>
      </c>
      <c r="D7">
        <v>28.56</v>
      </c>
      <c r="E7">
        <v>5137</v>
      </c>
    </row>
    <row r="8" spans="1:5" x14ac:dyDescent="0.25">
      <c r="A8" s="2">
        <v>7</v>
      </c>
      <c r="B8" t="s">
        <v>1007</v>
      </c>
      <c r="C8" t="s">
        <v>983</v>
      </c>
      <c r="D8">
        <v>11.25</v>
      </c>
      <c r="E8">
        <v>4068</v>
      </c>
    </row>
    <row r="9" spans="1:5" x14ac:dyDescent="0.25">
      <c r="A9" s="2">
        <v>8</v>
      </c>
      <c r="B9" t="s">
        <v>1008</v>
      </c>
      <c r="C9" t="s">
        <v>983</v>
      </c>
      <c r="D9">
        <v>16.21</v>
      </c>
      <c r="E9">
        <v>3140</v>
      </c>
    </row>
    <row r="10" spans="1:5" x14ac:dyDescent="0.25">
      <c r="A10" s="2">
        <v>9</v>
      </c>
      <c r="B10" t="s">
        <v>1009</v>
      </c>
      <c r="C10" t="s">
        <v>983</v>
      </c>
      <c r="D10">
        <v>18.559999999999999</v>
      </c>
      <c r="E10">
        <v>4051</v>
      </c>
    </row>
    <row r="11" spans="1:5" x14ac:dyDescent="0.25">
      <c r="A11" s="2">
        <v>10</v>
      </c>
      <c r="B11" t="s">
        <v>1010</v>
      </c>
      <c r="C11" t="s">
        <v>983</v>
      </c>
      <c r="D11">
        <v>14.25</v>
      </c>
      <c r="E11">
        <v>2429</v>
      </c>
    </row>
    <row r="12" spans="1:5" x14ac:dyDescent="0.25">
      <c r="A12" s="2">
        <v>11</v>
      </c>
      <c r="B12" t="s">
        <v>1011</v>
      </c>
      <c r="C12" t="s">
        <v>983</v>
      </c>
      <c r="D12">
        <v>11.23</v>
      </c>
      <c r="E12">
        <v>1726</v>
      </c>
    </row>
    <row r="13" spans="1:5" x14ac:dyDescent="0.25">
      <c r="A13" s="2">
        <v>12</v>
      </c>
      <c r="B13" t="s">
        <v>1012</v>
      </c>
      <c r="C13" t="s">
        <v>985</v>
      </c>
      <c r="D13">
        <v>8.1199999999999992</v>
      </c>
      <c r="E13">
        <v>1619</v>
      </c>
    </row>
    <row r="14" spans="1:5" x14ac:dyDescent="0.25">
      <c r="A14" s="2">
        <v>13</v>
      </c>
      <c r="B14" t="s">
        <v>1013</v>
      </c>
      <c r="C14" t="s">
        <v>985</v>
      </c>
      <c r="D14">
        <v>12.56</v>
      </c>
      <c r="E14">
        <v>2228</v>
      </c>
    </row>
    <row r="15" spans="1:5" x14ac:dyDescent="0.25">
      <c r="A15" s="2">
        <v>14</v>
      </c>
      <c r="B15" t="s">
        <v>1014</v>
      </c>
      <c r="C15" t="s">
        <v>985</v>
      </c>
      <c r="D15">
        <v>12.36</v>
      </c>
      <c r="E15">
        <v>3125</v>
      </c>
    </row>
    <row r="16" spans="1:5" x14ac:dyDescent="0.25">
      <c r="A16" s="2">
        <v>15</v>
      </c>
      <c r="B16" t="s">
        <v>1015</v>
      </c>
      <c r="C16" t="s">
        <v>985</v>
      </c>
      <c r="D16">
        <v>3.51</v>
      </c>
      <c r="E16">
        <v>4043</v>
      </c>
    </row>
    <row r="17" spans="1:5" x14ac:dyDescent="0.25">
      <c r="A17" s="2">
        <v>16</v>
      </c>
      <c r="B17" t="s">
        <v>1016</v>
      </c>
      <c r="C17" t="s">
        <v>985</v>
      </c>
      <c r="D17">
        <v>15.23</v>
      </c>
      <c r="E17">
        <v>3189</v>
      </c>
    </row>
    <row r="18" spans="1:5" x14ac:dyDescent="0.25">
      <c r="A18" s="2">
        <v>17</v>
      </c>
      <c r="B18" t="s">
        <v>1017</v>
      </c>
      <c r="C18" t="s">
        <v>987</v>
      </c>
      <c r="D18">
        <v>6.54</v>
      </c>
      <c r="E18">
        <v>3383</v>
      </c>
    </row>
    <row r="19" spans="1:5" x14ac:dyDescent="0.25">
      <c r="A19" s="2">
        <v>18</v>
      </c>
      <c r="B19" t="s">
        <v>1018</v>
      </c>
      <c r="C19" t="s">
        <v>987</v>
      </c>
      <c r="D19">
        <v>7.25</v>
      </c>
      <c r="E19">
        <v>4720</v>
      </c>
    </row>
    <row r="20" spans="1:5" x14ac:dyDescent="0.25">
      <c r="A20" s="2">
        <v>19</v>
      </c>
      <c r="B20" t="s">
        <v>1019</v>
      </c>
      <c r="C20" t="s">
        <v>987</v>
      </c>
      <c r="D20">
        <v>6.54</v>
      </c>
      <c r="E20">
        <v>4041</v>
      </c>
    </row>
    <row r="21" spans="1:5" x14ac:dyDescent="0.25">
      <c r="A21" s="2">
        <v>20</v>
      </c>
      <c r="B21" t="s">
        <v>1020</v>
      </c>
      <c r="C21" t="s">
        <v>987</v>
      </c>
      <c r="D21">
        <v>4.25</v>
      </c>
      <c r="E21">
        <v>1541</v>
      </c>
    </row>
    <row r="22" spans="1:5" x14ac:dyDescent="0.25">
      <c r="A22" s="2">
        <v>21</v>
      </c>
      <c r="B22" t="s">
        <v>1021</v>
      </c>
      <c r="C22" t="s">
        <v>987</v>
      </c>
      <c r="D22">
        <v>3.25</v>
      </c>
      <c r="E22">
        <v>2800</v>
      </c>
    </row>
    <row r="23" spans="1:5" x14ac:dyDescent="0.25">
      <c r="A23" s="2">
        <v>22</v>
      </c>
      <c r="B23" t="s">
        <v>1022</v>
      </c>
      <c r="C23" t="s">
        <v>987</v>
      </c>
      <c r="D23">
        <v>4.21</v>
      </c>
      <c r="E23">
        <v>3545</v>
      </c>
    </row>
    <row r="24" spans="1:5" x14ac:dyDescent="0.25">
      <c r="A24" s="2">
        <v>23</v>
      </c>
      <c r="B24" t="s">
        <v>1023</v>
      </c>
      <c r="C24" t="s">
        <v>989</v>
      </c>
      <c r="D24">
        <v>8.23</v>
      </c>
      <c r="E24">
        <v>3731</v>
      </c>
    </row>
    <row r="25" spans="1:5" x14ac:dyDescent="0.25">
      <c r="A25" s="2">
        <v>24</v>
      </c>
      <c r="B25" t="s">
        <v>1024</v>
      </c>
      <c r="C25" t="s">
        <v>989</v>
      </c>
      <c r="D25">
        <v>13.54</v>
      </c>
      <c r="E25">
        <v>2908</v>
      </c>
    </row>
    <row r="26" spans="1:5" x14ac:dyDescent="0.25">
      <c r="A26" s="2">
        <v>25</v>
      </c>
      <c r="B26" t="s">
        <v>1025</v>
      </c>
      <c r="C26" t="s">
        <v>989</v>
      </c>
      <c r="D26">
        <v>15.45</v>
      </c>
      <c r="E26">
        <v>1640</v>
      </c>
    </row>
    <row r="27" spans="1:5" x14ac:dyDescent="0.25">
      <c r="A27" s="2">
        <v>26</v>
      </c>
      <c r="B27" t="s">
        <v>1026</v>
      </c>
      <c r="C27" t="s">
        <v>989</v>
      </c>
      <c r="D27">
        <v>9.5399999999999991</v>
      </c>
      <c r="E27">
        <v>1688</v>
      </c>
    </row>
    <row r="28" spans="1:5" x14ac:dyDescent="0.25">
      <c r="A28" s="2">
        <v>27</v>
      </c>
      <c r="B28" t="s">
        <v>1027</v>
      </c>
      <c r="C28" t="s">
        <v>991</v>
      </c>
      <c r="D28">
        <v>6.21</v>
      </c>
      <c r="E28">
        <v>4978</v>
      </c>
    </row>
    <row r="29" spans="1:5" x14ac:dyDescent="0.25">
      <c r="A29" s="2">
        <v>28</v>
      </c>
      <c r="B29" t="s">
        <v>1028</v>
      </c>
      <c r="C29" t="s">
        <v>991</v>
      </c>
      <c r="D29">
        <v>9.4499999999999993</v>
      </c>
      <c r="E29">
        <v>3637</v>
      </c>
    </row>
    <row r="30" spans="1:5" x14ac:dyDescent="0.25">
      <c r="A30" s="2">
        <v>29</v>
      </c>
      <c r="B30" t="s">
        <v>1029</v>
      </c>
      <c r="C30" t="s">
        <v>991</v>
      </c>
      <c r="D30">
        <v>11.54</v>
      </c>
      <c r="E30">
        <v>2455</v>
      </c>
    </row>
    <row r="31" spans="1:5" x14ac:dyDescent="0.25">
      <c r="A31" s="2">
        <v>30</v>
      </c>
      <c r="B31" t="s">
        <v>1030</v>
      </c>
      <c r="C31" t="s">
        <v>991</v>
      </c>
      <c r="D31">
        <v>13.54</v>
      </c>
      <c r="E31">
        <v>1363</v>
      </c>
    </row>
    <row r="32" spans="1:5" x14ac:dyDescent="0.25">
      <c r="A32" s="2">
        <v>31</v>
      </c>
      <c r="B32" t="s">
        <v>1031</v>
      </c>
      <c r="C32" t="s">
        <v>993</v>
      </c>
      <c r="D32">
        <v>5.24</v>
      </c>
      <c r="E32">
        <v>2771</v>
      </c>
    </row>
    <row r="33" spans="1:5" x14ac:dyDescent="0.25">
      <c r="A33" s="2">
        <v>32</v>
      </c>
      <c r="B33" t="s">
        <v>1032</v>
      </c>
      <c r="C33" t="s">
        <v>993</v>
      </c>
      <c r="D33">
        <v>6.25</v>
      </c>
      <c r="E33">
        <v>5057</v>
      </c>
    </row>
    <row r="34" spans="1:5" x14ac:dyDescent="0.25">
      <c r="A34" s="2">
        <v>33</v>
      </c>
      <c r="B34" t="s">
        <v>1033</v>
      </c>
      <c r="C34" t="s">
        <v>993</v>
      </c>
      <c r="D34">
        <v>8.5399999999999991</v>
      </c>
      <c r="E34">
        <v>2837</v>
      </c>
    </row>
    <row r="35" spans="1:5" x14ac:dyDescent="0.25">
      <c r="A35" s="2">
        <v>34</v>
      </c>
      <c r="B35" t="s">
        <v>1034</v>
      </c>
      <c r="C35" t="s">
        <v>993</v>
      </c>
      <c r="D35">
        <v>5.45</v>
      </c>
      <c r="E35">
        <v>4769</v>
      </c>
    </row>
    <row r="36" spans="1:5" x14ac:dyDescent="0.25">
      <c r="A36" s="2">
        <v>35</v>
      </c>
      <c r="B36" t="s">
        <v>1035</v>
      </c>
      <c r="C36" t="s">
        <v>995</v>
      </c>
      <c r="D36">
        <v>4.25</v>
      </c>
      <c r="E36">
        <v>1437</v>
      </c>
    </row>
    <row r="37" spans="1:5" x14ac:dyDescent="0.25">
      <c r="A37" s="2">
        <v>36</v>
      </c>
      <c r="B37" t="s">
        <v>1036</v>
      </c>
      <c r="C37" t="s">
        <v>995</v>
      </c>
      <c r="D37">
        <v>3.25</v>
      </c>
      <c r="E37">
        <v>4578</v>
      </c>
    </row>
    <row r="38" spans="1:5" x14ac:dyDescent="0.25">
      <c r="A38" s="2">
        <v>37</v>
      </c>
      <c r="B38" t="s">
        <v>1037</v>
      </c>
      <c r="C38" t="s">
        <v>995</v>
      </c>
      <c r="D38">
        <v>3.65</v>
      </c>
      <c r="E38">
        <v>1506</v>
      </c>
    </row>
    <row r="39" spans="1:5" x14ac:dyDescent="0.25">
      <c r="A39" s="2">
        <v>38</v>
      </c>
      <c r="B39" t="s">
        <v>1038</v>
      </c>
      <c r="C39" t="s">
        <v>995</v>
      </c>
      <c r="D39">
        <v>6.21</v>
      </c>
      <c r="E39">
        <v>2182</v>
      </c>
    </row>
  </sheetData>
  <dataValidations count="2">
    <dataValidation type="whole" operator="greaterThanOrEqual" allowBlank="1" showInputMessage="1" showErrorMessage="1" sqref="A1:A39 E1:E39" xr:uid="{060FABEE-C7C8-4F28-B1C6-1D47CB9082A0}">
      <formula1>1</formula1>
    </dataValidation>
    <dataValidation type="decimal" allowBlank="1" showInputMessage="1" showErrorMessage="1" sqref="D1:D39" xr:uid="{8286FAEF-ADCA-406D-A762-D1E52C6405E8}">
      <formula1>1</formula1>
      <formula2>50</formula2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71D358-637C-48E2-92FA-7775208D17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clientes</vt:lpstr>
      <vt:lpstr>categorias</vt:lpstr>
      <vt:lpstr>metodos_pago</vt:lpstr>
      <vt:lpstr>ventas</vt:lpstr>
      <vt:lpstr>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Dilmer Rojas</dc:creator>
  <cp:lastModifiedBy>Dilmer Rojas</cp:lastModifiedBy>
  <dcterms:created xsi:type="dcterms:W3CDTF">2026-04-18T01:23:17Z</dcterms:created>
  <dcterms:modified xsi:type="dcterms:W3CDTF">2026-05-15T00:12:36Z</dcterms:modified>
</cp:coreProperties>
</file>